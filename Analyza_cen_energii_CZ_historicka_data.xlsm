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Vstupní parametry" sheetId="2" r:id="rId5"/>
    <sheet state="visible" name="Tržní data" sheetId="3" r:id="rId6"/>
    <sheet state="visible" name="Spotřeba a plán" sheetId="4" r:id="rId7"/>
    <sheet state="visible" name="Cenotvorba" sheetId="5" r:id="rId8"/>
    <sheet state="visible" name="Metodika" sheetId="6" r:id="rId9"/>
    <sheet state="visible" name="Ověřené ceny plynu" sheetId="7" r:id="rId10"/>
  </sheets>
  <definedNames/>
  <calcPr/>
  <extLst>
    <ext uri="GoogleSheetsCustomDataVersion2">
      <go:sheetsCustomData xmlns:go="http://customooxmlschemas.google.com/" r:id="rId11" roundtripDataChecksum="JomrLLdodmkBKGmA4WK/8LBdBWK8jSa6QWJd9daZ44c="/>
    </ext>
  </extLst>
</workbook>
</file>

<file path=xl/sharedStrings.xml><?xml version="1.0" encoding="utf-8"?>
<sst xmlns="http://schemas.openxmlformats.org/spreadsheetml/2006/main" count="168" uniqueCount="127">
  <si>
    <t>TRŽNÍ DATA | ELEKTŘINA A PLYN</t>
  </si>
  <si>
    <t>SPOTŘEBA A PLÁN NÁKUPU</t>
  </si>
  <si>
    <t>PARAMETRY MODELU</t>
  </si>
  <si>
    <t>Elektřina: historické měsíční spotové ceny ČR (2024–2025); plyn: modelové měsíční ceny.</t>
  </si>
  <si>
    <t>Měsíc</t>
  </si>
  <si>
    <t>Marže, spotřeba a objemy jsou modelové. Elektřina vychází z historických spotových cen.</t>
  </si>
  <si>
    <t>Elektřina (Kč/MWh)</t>
  </si>
  <si>
    <t>Plyn (Kč/MWh)</t>
  </si>
  <si>
    <t>Meziměsíční změna el.</t>
  </si>
  <si>
    <t>Meziměsíční změna plyn</t>
  </si>
  <si>
    <t>Rok</t>
  </si>
  <si>
    <t>Poznámka</t>
  </si>
  <si>
    <t>Parametr</t>
  </si>
  <si>
    <t>Hodnota</t>
  </si>
  <si>
    <t>Sezónní profil spotřeby, plán prodeje a nákupní rezervy.</t>
  </si>
  <si>
    <t>Jednotka</t>
  </si>
  <si>
    <t>Význam</t>
  </si>
  <si>
    <t>Profil elektřina</t>
  </si>
  <si>
    <t>Profil plyn</t>
  </si>
  <si>
    <t>Prodej el. (MWh)</t>
  </si>
  <si>
    <t>Prodej plyn (MWh)</t>
  </si>
  <si>
    <t>Nákup el. (MWh)</t>
  </si>
  <si>
    <t>Marže elektřina</t>
  </si>
  <si>
    <t>Nákup plyn (MWh)</t>
  </si>
  <si>
    <t>Zajištěno el. (MWh)</t>
  </si>
  <si>
    <t>Zajištěno plyn (MWh)</t>
  </si>
  <si>
    <t>Elektřina: skutečný měsíční průměr; plyn: syntetický</t>
  </si>
  <si>
    <t>%</t>
  </si>
  <si>
    <t>Přirážka k nákupní ceně</t>
  </si>
  <si>
    <t>Marže plyn</t>
  </si>
  <si>
    <t>Obchodní náklady elektřina</t>
  </si>
  <si>
    <t>Kč/MWh</t>
  </si>
  <si>
    <t>Variabilní náklad obchodníka</t>
  </si>
  <si>
    <t>Obchodní náklady plyn</t>
  </si>
  <si>
    <t>Riziková přirážka elektřina</t>
  </si>
  <si>
    <t>Riziková složka ceny</t>
  </si>
  <si>
    <t>Riziková přirážka plyn</t>
  </si>
  <si>
    <t>Počet odběrných míst elektřina</t>
  </si>
  <si>
    <t>ks</t>
  </si>
  <si>
    <t>Modelové portfolio</t>
  </si>
  <si>
    <t>Počet odběrných míst plyn</t>
  </si>
  <si>
    <t>Roční spotřeba elektřina / místo</t>
  </si>
  <si>
    <t>MWh</t>
  </si>
  <si>
    <t>Modelový průměr</t>
  </si>
  <si>
    <t>Roční spotřeba plyn / místo</t>
  </si>
  <si>
    <t>Zajištění nákupu</t>
  </si>
  <si>
    <t>Podíl plánovaného objemu</t>
  </si>
  <si>
    <t>DPH</t>
  </si>
  <si>
    <t>Pouze ilustrativní sazba pro přepočet</t>
  </si>
  <si>
    <t>Rezerva spotřeby</t>
  </si>
  <si>
    <t>Bezpečnostní navýšení nákupu</t>
  </si>
  <si>
    <t>ANALÝZA CEN ENERGIÍ</t>
  </si>
  <si>
    <t>2024–2025 | skutečné spotové ceny elektřiny; modelové ceny plynu, spotřeba a cenotvorba</t>
  </si>
  <si>
    <t>KLÍČOVÝ UKAZATEL</t>
  </si>
  <si>
    <t>HODNOTA</t>
  </si>
  <si>
    <t>Průměrná nákupní cena elektřiny (Kč/MWh)</t>
  </si>
  <si>
    <t>Průměrná nákupní cena plynu (Kč/MWh)</t>
  </si>
  <si>
    <t>Plán prodeje elektřiny (MWh)</t>
  </si>
  <si>
    <t>Plán prodeje plynu (MWh)</t>
  </si>
  <si>
    <t>Tržby celkem (Kč)</t>
  </si>
  <si>
    <t>Hrubý obchodní výsledek (Kč)</t>
  </si>
  <si>
    <t>Hrubá marže (%)</t>
  </si>
  <si>
    <t>Průměrná prodejní cena elektřiny (Kč/MWh)</t>
  </si>
  <si>
    <t>Průměrná prodejní cena plynu (Kč/MWh)</t>
  </si>
  <si>
    <t>SROVNÁNÍ ROKŮ</t>
  </si>
  <si>
    <t>2024</t>
  </si>
  <si>
    <t>2025</t>
  </si>
  <si>
    <t>Elektřina – průměr Kč/MWh</t>
  </si>
  <si>
    <t>Plyn – průměr Kč/MWh</t>
  </si>
  <si>
    <t>Obchodní výsledek (Kč)</t>
  </si>
  <si>
    <t>CO LZE ANALYZOVAT</t>
  </si>
  <si>
    <t>Vývoj cen a sezónnost</t>
  </si>
  <si>
    <t>Nákupní a prodejní objemy</t>
  </si>
  <si>
    <t>Vliv marže a rizikové přirážky</t>
  </si>
  <si>
    <t>Srovnání obchodních výsledků</t>
  </si>
  <si>
    <t>CENOTVORBA A OBCHODNÍ VÝSLEDEK</t>
  </si>
  <si>
    <t>Modelová neregulovaná komoditní cena; nezahrnuje distribuci ani další regulované platby.</t>
  </si>
  <si>
    <t>Nákup el. Kč/MWh</t>
  </si>
  <si>
    <t>Prodej el. Kč/MWh</t>
  </si>
  <si>
    <t>Nákup plyn Kč/MWh</t>
  </si>
  <si>
    <t>Prodej plyn Kč/MWh</t>
  </si>
  <si>
    <t>Tržby el. Kč</t>
  </si>
  <si>
    <t>Náklady el. Kč</t>
  </si>
  <si>
    <t>Hrubý zisk el. Kč</t>
  </si>
  <si>
    <t>Tržby plyn Kč</t>
  </si>
  <si>
    <t>Náklady plyn Kč</t>
  </si>
  <si>
    <t>Hrubý zisk plyn Kč</t>
  </si>
  <si>
    <t>Celkový zisk Kč</t>
  </si>
  <si>
    <t>METODIKA A POPIS PROJEKTU</t>
  </si>
  <si>
    <t>Čtěte před použitím modelu.</t>
  </si>
  <si>
    <t>OBLAST</t>
  </si>
  <si>
    <t>POPIS</t>
  </si>
  <si>
    <t>Účel</t>
  </si>
  <si>
    <t>Portfolio projekt.</t>
  </si>
  <si>
    <t>Charakter dat</t>
  </si>
  <si>
    <t>Všechna měsíční data jsou syntetická; nejde o reálné ceny OTE/PXE ani skutečnou spotřebu.</t>
  </si>
  <si>
    <t>Období</t>
  </si>
  <si>
    <t>Leden 2024 až prosinec 2025, měsíční granularita.</t>
  </si>
  <si>
    <t>Jednotky</t>
  </si>
  <si>
    <t>Cena Kč/MWh, objemy MWh, tržby a náklady Kč.</t>
  </si>
  <si>
    <t>Spotřeba</t>
  </si>
  <si>
    <t>Počet míst × průměrná roční spotřeba × měsíční sezónní koeficient / 12.</t>
  </si>
  <si>
    <t>Nákup</t>
  </si>
  <si>
    <t>Plán prodeje × (1 + rezerva spotřeby).</t>
  </si>
  <si>
    <t>Zajištění</t>
  </si>
  <si>
    <t>Nákupní objem × podíl zajištění; pouze objemový ukazatel.</t>
  </si>
  <si>
    <t>ZDROJE A PŮVOD DAT</t>
  </si>
  <si>
    <t>Elektřina 2024</t>
  </si>
  <si>
    <t>Měsíční průměry denního trhu OTE (Kč/MWh, bez DPH); přepis z https://spotovaelektrina.cz/historicke-ceny/2024/01</t>
  </si>
  <si>
    <t>Elektřina 2025</t>
  </si>
  <si>
    <t>Měsíční průměry denního trhu OTE (Kč/MWh, bez DPH); přepis z https://spotovaelektrina.cz/historicke-ceny/2025/1</t>
  </si>
  <si>
    <t>Plyn 2024</t>
  </si>
  <si>
    <t>Skutečný roční vážený průměr vnitrodenního trhu OTE: 37,61 EUR/MWh; ERÚ https://eru.gov.cz/sites/default/files/obsah/prilohy/sp2024.pdf</t>
  </si>
  <si>
    <t>Plyn 2025</t>
  </si>
  <si>
    <t>Skutečný roční průměr vnitrodenního trhu OTE: 39,95 EUR/MWh; https://www.ote-cr.cz/cs/o-spolecnosti/zpravy_ote/tz_20260105_objemy-obchodu-v-r-2025-1.pdf</t>
  </si>
  <si>
    <t>DŮLEŽITÉ</t>
  </si>
  <si>
    <t>Měsíční hodnoty plynu zůstávají syntetické! Roční EUR/MWh plynu nelze bez další metodiky zaměnit za měsíční CZK/MWh.</t>
  </si>
  <si>
    <t>Modelové vstupy</t>
  </si>
  <si>
    <t>Spotřeba, plán nákupu, marže, rizikové přirážky a obchodní výsledky jsou simulací, nikoliv skutečnými výsledky dodavatele.</t>
  </si>
  <si>
    <t>Cena plynu (EUR/MWh)</t>
  </si>
  <si>
    <t>Trh / metodika</t>
  </si>
  <si>
    <t>Zdroj</t>
  </si>
  <si>
    <t>OTE – vnitrodenní trh; vážený průměr</t>
  </si>
  <si>
    <t>https://eru.gov.cz/sites/default/files/obsah/prilohy/sp2024.pdf</t>
  </si>
  <si>
    <t>OTE – vnitrodenní trh; roční průměr</t>
  </si>
  <si>
    <t>https://www.ote-cr.cz/cs/o-spolecnosti/zpravy_ote/tz_20260105_objemy-obchodu-v-r-2025-1.pdf</t>
  </si>
  <si>
    <t>Poznámka: roční ceny plynu slouží pro srovnání, nejsou propojeny s měsíční modelovou cenotvorbou.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</si>
</sst>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mmm yyyy"/>
    <numFmt numFmtId="165" formatCode="#,##0 &quot;Kč/MWh&quot;"/>
    <numFmt numFmtId="166" formatCode="0.0%"/>
    <numFmt numFmtId="167" formatCode="#,##0 &quot;Kč&quot;"/>
    <numFmt numFmtId="168" formatCode="#,##0.0"/>
    <numFmt numFmtId="169" formatCode="#,##0;[Red](#,##0);–"/>
  </numFmts>
  <fonts count="8">
    <font>
      <sz val="11.0"/>
      <color rgb="FF000000"/>
      <name val="Carlito"/>
      <scheme val="minor"/>
    </font>
    <font>
      <b/>
      <sz val="17.0"/>
      <color rgb="FFFFFFFF"/>
      <name val="Carlito"/>
    </font>
    <font>
      <sz val="11.0"/>
      <color rgb="FF17324D"/>
      <name val="Carlito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  <font>
      <sz val="11.0"/>
      <color rgb="FF0000FF"/>
      <name val="Carlito"/>
    </font>
    <font>
      <b/>
      <sz val="11.0"/>
      <color rgb="FF17324D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EAF3F6"/>
        <bgColor rgb="FFEAF3F6"/>
      </patternFill>
    </fill>
    <fill>
      <patternFill patternType="solid">
        <fgColor rgb="FFDCFCE7"/>
        <bgColor rgb="FFDCFCE7"/>
      </patternFill>
    </fill>
    <fill>
      <patternFill patternType="solid">
        <fgColor rgb="FFFEF3C7"/>
        <bgColor rgb="FFFEF3C7"/>
      </patternFill>
    </fill>
    <fill>
      <patternFill patternType="solid">
        <fgColor rgb="FFFFF0B3"/>
        <bgColor rgb="FFFFF0B3"/>
      </patternFill>
    </fill>
    <fill>
      <patternFill patternType="solid">
        <fgColor rgb="FF087E8B"/>
        <bgColor rgb="FF087E8B"/>
      </patternFill>
    </fill>
    <fill>
      <patternFill patternType="solid">
        <fgColor rgb="FF164E63"/>
        <bgColor rgb="FF164E63"/>
      </patternFill>
    </fill>
  </fills>
  <borders count="1">
    <border/>
  </borders>
  <cellStyleXfs count="1">
    <xf borderId="0" fillId="0" fontId="0" numFmtId="0" applyAlignment="1" applyFont="1"/>
  </cellStyleXfs>
  <cellXfs count="23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3" fontId="2" numFmtId="0" xfId="0" applyFill="1" applyFont="1"/>
    <xf borderId="0" fillId="2" fontId="3" numFmtId="0" xfId="0" applyFill="1" applyFont="1"/>
    <xf borderId="0" fillId="0" fontId="4" numFmtId="164" xfId="0" applyFont="1" applyNumberFormat="1"/>
    <xf borderId="0" fillId="4" fontId="4" numFmtId="165" xfId="0" applyFill="1" applyFont="1" applyNumberFormat="1"/>
    <xf borderId="0" fillId="5" fontId="4" numFmtId="165" xfId="0" applyFill="1" applyFont="1" applyNumberFormat="1"/>
    <xf borderId="0" fillId="0" fontId="5" numFmtId="0" xfId="0" applyFont="1"/>
    <xf borderId="0" fillId="0" fontId="4" numFmtId="166" xfId="0" applyFont="1" applyNumberFormat="1"/>
    <xf borderId="0" fillId="6" fontId="6" numFmtId="166" xfId="0" applyFill="1" applyFont="1" applyNumberFormat="1"/>
    <xf borderId="0" fillId="0" fontId="4" numFmtId="2" xfId="0" applyFont="1" applyNumberFormat="1"/>
    <xf borderId="0" fillId="6" fontId="6" numFmtId="167" xfId="0" applyFill="1" applyFont="1" applyNumberFormat="1"/>
    <xf borderId="0" fillId="6" fontId="6" numFmtId="0" xfId="0" applyFill="1" applyFont="1"/>
    <xf borderId="0" fillId="0" fontId="4" numFmtId="168" xfId="0" applyFont="1" applyNumberFormat="1"/>
    <xf borderId="0" fillId="2" fontId="1" numFmtId="0" xfId="0" applyAlignment="1" applyFill="1" applyFont="1">
      <alignment readingOrder="0"/>
    </xf>
    <xf borderId="0" fillId="3" fontId="7" numFmtId="169" xfId="0" applyFill="1" applyFont="1" applyNumberFormat="1"/>
    <xf borderId="0" fillId="3" fontId="7" numFmtId="166" xfId="0" applyFill="1" applyFont="1" applyNumberFormat="1"/>
    <xf borderId="0" fillId="7" fontId="3" numFmtId="0" xfId="0" applyFill="1" applyFont="1"/>
    <xf borderId="0" fillId="0" fontId="4" numFmtId="169" xfId="0" applyFont="1" applyNumberFormat="1"/>
    <xf borderId="0" fillId="0" fontId="4" numFmtId="0" xfId="0" applyAlignment="1" applyFont="1">
      <alignment readingOrder="0" shrinkToFit="0" wrapText="1"/>
    </xf>
    <xf borderId="0" fillId="0" fontId="4" numFmtId="0" xfId="0" applyAlignment="1" applyFont="1">
      <alignment shrinkToFit="0" wrapText="1"/>
    </xf>
    <xf borderId="0" fillId="8" fontId="3" numFmtId="0" xfId="0" applyFill="1" applyFont="1"/>
    <xf borderId="0" fillId="8" fontId="3" numFmtId="0" xfId="0" applyAlignment="1" applyFill="1" applyFont="1">
      <alignment shrinkToFit="0" wrapText="1"/>
    </xf>
  </cellXfs>
  <cellStyles count="1">
    <cellStyle xfId="0" name="Normal" builtinId="0"/>
  </cellStyles>
  <dxfs count="1">
    <dxf>
      <font>
        <color rgb="FFC62828"/>
      </font>
      <fill>
        <patternFill patternType="solid">
          <fgColor rgb="FFFDE8E8"/>
          <bgColor rgb="FFFDE8E8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v>Elektřina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'Tržní data'!$A$5:$A$28</c:f>
            </c:strRef>
          </c:cat>
          <c:val>
            <c:numRef>
              <c:f>'Tržní data'!$B$5:$B$28</c:f>
              <c:numCache/>
            </c:numRef>
          </c:val>
          <c:smooth val="0"/>
        </c:ser>
        <c:ser>
          <c:idx val="1"/>
          <c:order val="1"/>
          <c:tx>
            <c:v>Plyn</c:v>
          </c:tx>
          <c:spPr>
            <a:ln cmpd="sng">
              <a:solidFill>
                <a:srgbClr val="E97132"/>
              </a:solidFill>
            </a:ln>
          </c:spPr>
          <c:marker>
            <c:symbol val="none"/>
          </c:marker>
          <c:cat>
            <c:strRef>
              <c:f>'Tržní data'!$A$5:$A$28</c:f>
            </c:strRef>
          </c:cat>
          <c:val>
            <c:numRef>
              <c:f>'Tržní data'!$C$5:$C$28</c:f>
              <c:numCache/>
            </c:numRef>
          </c:val>
          <c:smooth val="0"/>
        </c:ser>
        <c:axId val="402129782"/>
        <c:axId val="460752474"/>
      </c:lineChart>
      <c:catAx>
        <c:axId val="4021297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60752474"/>
      </c:catAx>
      <c:valAx>
        <c:axId val="46075247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02129782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Hrubý výsledek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Cenotvorba!$A$5:$A$28</c:f>
            </c:strRef>
          </c:cat>
          <c:val>
            <c:numRef>
              <c:f>Cenotvorba!$L$5:$L$28</c:f>
              <c:numCache/>
            </c:numRef>
          </c:val>
          <c:smooth val="0"/>
        </c:ser>
        <c:axId val="1783420583"/>
        <c:axId val="903406883"/>
      </c:lineChart>
      <c:catAx>
        <c:axId val="1783420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03406883"/>
      </c:catAx>
      <c:valAx>
        <c:axId val="90340688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83420583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3</xdr:row>
      <xdr:rowOff>0</xdr:rowOff>
    </xdr:from>
    <xdr:ext cx="8915400" cy="4419600"/>
    <xdr:graphicFrame>
      <xdr:nvGraphicFramePr>
        <xdr:cNvPr id="81754843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3</xdr:col>
      <xdr:colOff>0</xdr:colOff>
      <xdr:row>19</xdr:row>
      <xdr:rowOff>0</xdr:rowOff>
    </xdr:from>
    <xdr:ext cx="8915400" cy="3000375"/>
    <xdr:graphicFrame>
      <xdr:nvGraphicFramePr>
        <xdr:cNvPr id="36384109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9.0"/>
    <col customWidth="1" min="2" max="3" width="21.0"/>
    <col customWidth="1" min="4" max="12" width="13.0"/>
    <col customWidth="1" min="13" max="26" width="8.63"/>
  </cols>
  <sheetData>
    <row r="1" ht="37.5" customHeight="1">
      <c r="A1" s="14" t="s">
        <v>51</v>
      </c>
    </row>
    <row r="2" ht="27.0" customHeight="1">
      <c r="A2" s="2" t="s">
        <v>52</v>
      </c>
    </row>
    <row r="4" ht="27.75" customHeight="1">
      <c r="A4" s="3" t="s">
        <v>53</v>
      </c>
      <c r="B4" s="3" t="s">
        <v>54</v>
      </c>
    </row>
    <row r="5" ht="25.5" customHeight="1">
      <c r="A5" s="7" t="s">
        <v>55</v>
      </c>
      <c r="B5" s="15">
        <f>AVERAGE('Tržní data'!B5:B28)</f>
        <v>2268.333333</v>
      </c>
    </row>
    <row r="6" ht="25.5" customHeight="1">
      <c r="A6" s="7" t="s">
        <v>56</v>
      </c>
      <c r="B6" s="15">
        <f>AVERAGE('Tržní data'!C5:C28)</f>
        <v>1246.583333</v>
      </c>
    </row>
    <row r="7" ht="25.5" customHeight="1">
      <c r="A7" s="7" t="s">
        <v>57</v>
      </c>
      <c r="B7" s="15">
        <f>SUM('Spotřeba a plán'!D5:D28)</f>
        <v>11160</v>
      </c>
    </row>
    <row r="8" ht="25.5" customHeight="1">
      <c r="A8" s="7" t="s">
        <v>58</v>
      </c>
      <c r="B8" s="15">
        <f>SUM('Spotřeba a plán'!E5:E28)</f>
        <v>28750</v>
      </c>
    </row>
    <row r="9" ht="25.5" customHeight="1">
      <c r="A9" s="7" t="s">
        <v>59</v>
      </c>
      <c r="B9" s="15">
        <f>SUM(Cenotvorba!F5:F28)+SUM(Cenotvorba!I5:I28)</f>
        <v>76598689.24</v>
      </c>
    </row>
    <row r="10" ht="25.5" customHeight="1">
      <c r="A10" s="7" t="s">
        <v>60</v>
      </c>
      <c r="B10" s="15">
        <f>SUM(Cenotvorba!L5:L28)</f>
        <v>5716582.229</v>
      </c>
    </row>
    <row r="11" ht="25.5" customHeight="1">
      <c r="A11" s="7" t="s">
        <v>61</v>
      </c>
      <c r="B11" s="16">
        <f>IFERROR(B10/B9,0)</f>
        <v>0.07463028787</v>
      </c>
    </row>
    <row r="12" ht="25.5" customHeight="1">
      <c r="A12" s="7" t="s">
        <v>62</v>
      </c>
      <c r="B12" s="15">
        <f>AVERAGE(Cenotvorba!C5:C28)</f>
        <v>2757.608333</v>
      </c>
    </row>
    <row r="13" ht="25.5" customHeight="1">
      <c r="A13" s="7" t="s">
        <v>63</v>
      </c>
      <c r="B13" s="15">
        <f>AVERAGE(Cenotvorba!E5:E28)</f>
        <v>1506.105</v>
      </c>
    </row>
    <row r="15" ht="27.75" customHeight="1">
      <c r="A15" s="17" t="s">
        <v>64</v>
      </c>
      <c r="B15" s="17" t="s">
        <v>65</v>
      </c>
      <c r="C15" s="17" t="s">
        <v>66</v>
      </c>
    </row>
    <row r="16">
      <c r="A16" s="7" t="s">
        <v>67</v>
      </c>
      <c r="B16" s="18">
        <f>AVERAGE('Tržní data'!B5:B16)</f>
        <v>2140.416667</v>
      </c>
      <c r="C16" s="18">
        <f>AVERAGE('Tržní data'!B17:B28)</f>
        <v>2396.25</v>
      </c>
    </row>
    <row r="17">
      <c r="A17" s="7" t="s">
        <v>68</v>
      </c>
      <c r="B17" s="18">
        <f>AVERAGE('Tržní data'!C5:C16)</f>
        <v>1281.416667</v>
      </c>
      <c r="C17" s="18">
        <f>AVERAGE('Tržní data'!C17:C28)</f>
        <v>1211.75</v>
      </c>
    </row>
    <row r="18">
      <c r="A18" s="7" t="s">
        <v>69</v>
      </c>
      <c r="B18" s="18">
        <f>SUM(Cenotvorba!L5:L16)</f>
        <v>2809818.672</v>
      </c>
      <c r="C18" s="18">
        <f>SUM(Cenotvorba!L17:L28)</f>
        <v>2906763.557</v>
      </c>
    </row>
    <row r="21" ht="15.75" customHeight="1">
      <c r="A21" s="7" t="s">
        <v>70</v>
      </c>
    </row>
    <row r="22" ht="15.75" customHeight="1">
      <c r="A22" s="7" t="s">
        <v>71</v>
      </c>
    </row>
    <row r="23" ht="15.75" customHeight="1">
      <c r="A23" s="7" t="s">
        <v>72</v>
      </c>
    </row>
    <row r="24" ht="15.75" customHeight="1">
      <c r="A24" s="7" t="s">
        <v>73</v>
      </c>
    </row>
    <row r="25" ht="15.75" customHeight="1">
      <c r="A25" s="7" t="s">
        <v>74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37.0"/>
    <col customWidth="1" min="2" max="2" width="19.0"/>
    <col customWidth="1" min="3" max="3" width="17.0"/>
    <col customWidth="1" min="4" max="4" width="48.0"/>
    <col customWidth="1" min="5" max="26" width="8.63"/>
  </cols>
  <sheetData>
    <row r="1" ht="37.5" customHeight="1">
      <c r="A1" s="1" t="s">
        <v>2</v>
      </c>
    </row>
    <row r="2" ht="27.0" customHeight="1">
      <c r="A2" s="2" t="s">
        <v>5</v>
      </c>
    </row>
    <row r="4" ht="28.5" customHeight="1">
      <c r="A4" s="3" t="s">
        <v>12</v>
      </c>
      <c r="B4" s="3" t="s">
        <v>13</v>
      </c>
      <c r="C4" s="3" t="s">
        <v>15</v>
      </c>
      <c r="D4" s="3" t="s">
        <v>16</v>
      </c>
      <c r="E4" s="3"/>
      <c r="F4" s="3"/>
      <c r="G4" s="3"/>
      <c r="H4" s="3"/>
      <c r="I4" s="3"/>
      <c r="J4" s="3"/>
      <c r="K4" s="3"/>
      <c r="L4" s="3"/>
    </row>
    <row r="5">
      <c r="A5" s="7" t="s">
        <v>22</v>
      </c>
      <c r="B5" s="9">
        <v>0.12</v>
      </c>
      <c r="C5" s="7" t="s">
        <v>27</v>
      </c>
      <c r="D5" s="7" t="s">
        <v>28</v>
      </c>
    </row>
    <row r="6">
      <c r="A6" s="7" t="s">
        <v>29</v>
      </c>
      <c r="B6" s="9">
        <v>0.1</v>
      </c>
      <c r="C6" s="7" t="s">
        <v>27</v>
      </c>
      <c r="D6" s="7" t="s">
        <v>28</v>
      </c>
    </row>
    <row r="7">
      <c r="A7" s="7" t="s">
        <v>30</v>
      </c>
      <c r="B7" s="11">
        <v>115.0</v>
      </c>
      <c r="C7" s="7" t="s">
        <v>31</v>
      </c>
      <c r="D7" s="7" t="s">
        <v>32</v>
      </c>
    </row>
    <row r="8">
      <c r="A8" s="7" t="s">
        <v>33</v>
      </c>
      <c r="B8" s="11">
        <v>85.0</v>
      </c>
      <c r="C8" s="7" t="s">
        <v>31</v>
      </c>
      <c r="D8" s="7" t="s">
        <v>32</v>
      </c>
    </row>
    <row r="9">
      <c r="A9" s="7" t="s">
        <v>34</v>
      </c>
      <c r="B9" s="9">
        <v>0.045</v>
      </c>
      <c r="C9" s="7" t="s">
        <v>27</v>
      </c>
      <c r="D9" s="7" t="s">
        <v>35</v>
      </c>
    </row>
    <row r="10">
      <c r="A10" s="7" t="s">
        <v>36</v>
      </c>
      <c r="B10" s="9">
        <v>0.04</v>
      </c>
      <c r="C10" s="7" t="s">
        <v>27</v>
      </c>
      <c r="D10" s="7" t="s">
        <v>35</v>
      </c>
    </row>
    <row r="11">
      <c r="A11" s="7" t="s">
        <v>37</v>
      </c>
      <c r="B11" s="12">
        <v>1800.0</v>
      </c>
      <c r="C11" s="7" t="s">
        <v>38</v>
      </c>
      <c r="D11" s="7" t="s">
        <v>39</v>
      </c>
    </row>
    <row r="12">
      <c r="A12" s="7" t="s">
        <v>40</v>
      </c>
      <c r="B12" s="12">
        <v>1150.0</v>
      </c>
      <c r="C12" s="7" t="s">
        <v>38</v>
      </c>
      <c r="D12" s="7" t="s">
        <v>39</v>
      </c>
    </row>
    <row r="13">
      <c r="A13" s="7" t="s">
        <v>41</v>
      </c>
      <c r="B13" s="12">
        <v>3.1</v>
      </c>
      <c r="C13" s="7" t="s">
        <v>42</v>
      </c>
      <c r="D13" s="7" t="s">
        <v>43</v>
      </c>
    </row>
    <row r="14">
      <c r="A14" s="7" t="s">
        <v>44</v>
      </c>
      <c r="B14" s="12">
        <v>12.5</v>
      </c>
      <c r="C14" s="7" t="s">
        <v>42</v>
      </c>
      <c r="D14" s="7" t="s">
        <v>43</v>
      </c>
    </row>
    <row r="15">
      <c r="A15" s="7" t="s">
        <v>45</v>
      </c>
      <c r="B15" s="9">
        <v>0.85</v>
      </c>
      <c r="C15" s="7" t="s">
        <v>27</v>
      </c>
      <c r="D15" s="7" t="s">
        <v>46</v>
      </c>
    </row>
    <row r="16">
      <c r="A16" s="7" t="s">
        <v>47</v>
      </c>
      <c r="B16" s="9">
        <v>0.21</v>
      </c>
      <c r="C16" s="7" t="s">
        <v>27</v>
      </c>
      <c r="D16" s="7" t="s">
        <v>48</v>
      </c>
    </row>
    <row r="17">
      <c r="A17" s="7" t="s">
        <v>49</v>
      </c>
      <c r="B17" s="9">
        <v>0.06</v>
      </c>
      <c r="C17" s="7" t="s">
        <v>27</v>
      </c>
      <c r="D17" s="7" t="s">
        <v>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7.0"/>
    <col customWidth="1" min="2" max="2" width="24.0"/>
    <col customWidth="1" min="3" max="3" width="23.0"/>
    <col customWidth="1" min="4" max="5" width="25.0"/>
    <col customWidth="1" min="6" max="6" width="13.0"/>
    <col customWidth="1" min="7" max="7" width="26.0"/>
    <col customWidth="1" min="8" max="26" width="8.63"/>
  </cols>
  <sheetData>
    <row r="1" ht="37.5" customHeight="1">
      <c r="A1" s="1" t="s">
        <v>0</v>
      </c>
    </row>
    <row r="2" ht="27.0" customHeight="1">
      <c r="A2" s="2" t="s">
        <v>3</v>
      </c>
    </row>
    <row r="4" ht="28.5" customHeight="1">
      <c r="A4" s="3" t="s">
        <v>4</v>
      </c>
      <c r="B4" s="3" t="s">
        <v>6</v>
      </c>
      <c r="C4" s="3" t="s">
        <v>7</v>
      </c>
      <c r="D4" s="3" t="s">
        <v>8</v>
      </c>
      <c r="E4" s="3" t="s">
        <v>9</v>
      </c>
      <c r="F4" s="3" t="s">
        <v>10</v>
      </c>
      <c r="G4" s="3" t="s">
        <v>11</v>
      </c>
      <c r="H4" s="3"/>
      <c r="I4" s="3"/>
      <c r="J4" s="3"/>
      <c r="K4" s="3"/>
      <c r="L4" s="3"/>
    </row>
    <row r="5">
      <c r="A5" s="4">
        <v>45292.0</v>
      </c>
      <c r="B5" s="5">
        <v>2063.0</v>
      </c>
      <c r="C5" s="6">
        <v>1448.0</v>
      </c>
      <c r="D5" s="8"/>
      <c r="E5" s="8"/>
      <c r="F5" s="7">
        <v>2024.0</v>
      </c>
      <c r="G5" s="7" t="s">
        <v>26</v>
      </c>
    </row>
    <row r="6">
      <c r="A6" s="4">
        <v>45323.0</v>
      </c>
      <c r="B6" s="5">
        <v>1751.0</v>
      </c>
      <c r="C6" s="6">
        <v>1418.0</v>
      </c>
      <c r="D6" s="8">
        <f t="shared" ref="D6:E6" si="1">IFERROR(B6/B5-1,0)</f>
        <v>-0.151236064</v>
      </c>
      <c r="E6" s="8">
        <f t="shared" si="1"/>
        <v>-0.02071823204</v>
      </c>
      <c r="F6" s="7">
        <v>2024.0</v>
      </c>
      <c r="G6" s="7" t="s">
        <v>26</v>
      </c>
    </row>
    <row r="7">
      <c r="A7" s="4">
        <v>45352.0</v>
      </c>
      <c r="B7" s="5">
        <v>1650.0</v>
      </c>
      <c r="C7" s="6">
        <v>1340.0</v>
      </c>
      <c r="D7" s="8">
        <f t="shared" ref="D7:E7" si="2">IFERROR(B7/B6-1,0)</f>
        <v>-0.05768132496</v>
      </c>
      <c r="E7" s="8">
        <f t="shared" si="2"/>
        <v>-0.05500705219</v>
      </c>
      <c r="F7" s="7">
        <v>2024.0</v>
      </c>
      <c r="G7" s="7" t="s">
        <v>26</v>
      </c>
    </row>
    <row r="8">
      <c r="A8" s="4">
        <v>45383.0</v>
      </c>
      <c r="B8" s="5">
        <v>1587.0</v>
      </c>
      <c r="C8" s="6">
        <v>1331.0</v>
      </c>
      <c r="D8" s="8">
        <f t="shared" ref="D8:E8" si="3">IFERROR(B8/B7-1,0)</f>
        <v>-0.03818181818</v>
      </c>
      <c r="E8" s="8">
        <f t="shared" si="3"/>
        <v>-0.00671641791</v>
      </c>
      <c r="F8" s="7">
        <v>2024.0</v>
      </c>
      <c r="G8" s="7" t="s">
        <v>26</v>
      </c>
    </row>
    <row r="9">
      <c r="A9" s="4">
        <v>45413.0</v>
      </c>
      <c r="B9" s="5">
        <v>1704.0</v>
      </c>
      <c r="C9" s="6">
        <v>1190.0</v>
      </c>
      <c r="D9" s="8">
        <f t="shared" ref="D9:E9" si="4">IFERROR(B9/B8-1,0)</f>
        <v>0.07372400756</v>
      </c>
      <c r="E9" s="8">
        <f t="shared" si="4"/>
        <v>-0.1059353869</v>
      </c>
      <c r="F9" s="7">
        <v>2024.0</v>
      </c>
      <c r="G9" s="7" t="s">
        <v>26</v>
      </c>
    </row>
    <row r="10">
      <c r="A10" s="4">
        <v>45444.0</v>
      </c>
      <c r="B10" s="5">
        <v>1908.0</v>
      </c>
      <c r="C10" s="6">
        <v>1153.0</v>
      </c>
      <c r="D10" s="8">
        <f t="shared" ref="D10:E10" si="5">IFERROR(B10/B9-1,0)</f>
        <v>0.1197183099</v>
      </c>
      <c r="E10" s="8">
        <f t="shared" si="5"/>
        <v>-0.03109243697</v>
      </c>
      <c r="F10" s="7">
        <v>2024.0</v>
      </c>
      <c r="G10" s="7" t="s">
        <v>26</v>
      </c>
    </row>
    <row r="11">
      <c r="A11" s="4">
        <v>45474.0</v>
      </c>
      <c r="B11" s="5">
        <v>1779.0</v>
      </c>
      <c r="C11" s="6">
        <v>1203.0</v>
      </c>
      <c r="D11" s="8">
        <f t="shared" ref="D11:E11" si="6">IFERROR(B11/B10-1,0)</f>
        <v>-0.06761006289</v>
      </c>
      <c r="E11" s="8">
        <f t="shared" si="6"/>
        <v>0.04336513443</v>
      </c>
      <c r="F11" s="7">
        <v>2024.0</v>
      </c>
      <c r="G11" s="7" t="s">
        <v>26</v>
      </c>
    </row>
    <row r="12">
      <c r="A12" s="4">
        <v>45505.0</v>
      </c>
      <c r="B12" s="5">
        <v>2222.0</v>
      </c>
      <c r="C12" s="6">
        <v>1142.0</v>
      </c>
      <c r="D12" s="8">
        <f t="shared" ref="D12:E12" si="7">IFERROR(B12/B11-1,0)</f>
        <v>0.2490163013</v>
      </c>
      <c r="E12" s="8">
        <f t="shared" si="7"/>
        <v>-0.05070656692</v>
      </c>
      <c r="F12" s="7">
        <v>2024.0</v>
      </c>
      <c r="G12" s="7" t="s">
        <v>26</v>
      </c>
    </row>
    <row r="13">
      <c r="A13" s="4">
        <v>45536.0</v>
      </c>
      <c r="B13" s="5">
        <v>2069.0</v>
      </c>
      <c r="C13" s="6">
        <v>1254.0</v>
      </c>
      <c r="D13" s="8">
        <f t="shared" ref="D13:E13" si="8">IFERROR(B13/B12-1,0)</f>
        <v>-0.06885688569</v>
      </c>
      <c r="E13" s="8">
        <f t="shared" si="8"/>
        <v>0.09807355517</v>
      </c>
      <c r="F13" s="7">
        <v>2024.0</v>
      </c>
      <c r="G13" s="7" t="s">
        <v>26</v>
      </c>
    </row>
    <row r="14">
      <c r="A14" s="4">
        <v>45566.0</v>
      </c>
      <c r="B14" s="5">
        <v>2252.0</v>
      </c>
      <c r="C14" s="6">
        <v>1292.0</v>
      </c>
      <c r="D14" s="8">
        <f t="shared" ref="D14:E14" si="9">IFERROR(B14/B13-1,0)</f>
        <v>0.08844852586</v>
      </c>
      <c r="E14" s="8">
        <f t="shared" si="9"/>
        <v>0.0303030303</v>
      </c>
      <c r="F14" s="7">
        <v>2024.0</v>
      </c>
      <c r="G14" s="7" t="s">
        <v>26</v>
      </c>
    </row>
    <row r="15">
      <c r="A15" s="4">
        <v>45597.0</v>
      </c>
      <c r="B15" s="5">
        <v>3366.0</v>
      </c>
      <c r="C15" s="6">
        <v>1287.0</v>
      </c>
      <c r="D15" s="8">
        <f t="shared" ref="D15:E15" si="10">IFERROR(B15/B14-1,0)</f>
        <v>0.4946714032</v>
      </c>
      <c r="E15" s="8">
        <f t="shared" si="10"/>
        <v>-0.00386996904</v>
      </c>
      <c r="F15" s="7">
        <v>2024.0</v>
      </c>
      <c r="G15" s="7" t="s">
        <v>26</v>
      </c>
    </row>
    <row r="16">
      <c r="A16" s="4">
        <v>45627.0</v>
      </c>
      <c r="B16" s="5">
        <v>3334.0</v>
      </c>
      <c r="C16" s="6">
        <v>1319.0</v>
      </c>
      <c r="D16" s="8">
        <f t="shared" ref="D16:E16" si="11">IFERROR(B16/B15-1,0)</f>
        <v>-0.009506833036</v>
      </c>
      <c r="E16" s="8">
        <f t="shared" si="11"/>
        <v>0.02486402486</v>
      </c>
      <c r="F16" s="7">
        <v>2024.0</v>
      </c>
      <c r="G16" s="7" t="s">
        <v>26</v>
      </c>
    </row>
    <row r="17">
      <c r="A17" s="4">
        <v>45658.0</v>
      </c>
      <c r="B17" s="5">
        <v>3231.0</v>
      </c>
      <c r="C17" s="6">
        <v>1427.0</v>
      </c>
      <c r="D17" s="8">
        <f t="shared" ref="D17:E17" si="12">IFERROR(B17/B16-1,0)</f>
        <v>-0.03089382124</v>
      </c>
      <c r="E17" s="8">
        <f t="shared" si="12"/>
        <v>0.08188021228</v>
      </c>
      <c r="F17" s="7">
        <v>2025.0</v>
      </c>
      <c r="G17" s="7" t="s">
        <v>26</v>
      </c>
    </row>
    <row r="18">
      <c r="A18" s="4">
        <v>45689.0</v>
      </c>
      <c r="B18" s="5">
        <v>3319.0</v>
      </c>
      <c r="C18" s="6">
        <v>1319.0</v>
      </c>
      <c r="D18" s="8">
        <f t="shared" ref="D18:E18" si="13">IFERROR(B18/B17-1,0)</f>
        <v>0.0272361498</v>
      </c>
      <c r="E18" s="8">
        <f t="shared" si="13"/>
        <v>-0.07568325158</v>
      </c>
      <c r="F18" s="7">
        <v>2025.0</v>
      </c>
      <c r="G18" s="7" t="s">
        <v>26</v>
      </c>
    </row>
    <row r="19">
      <c r="A19" s="4">
        <v>45717.0</v>
      </c>
      <c r="B19" s="5">
        <v>2491.0</v>
      </c>
      <c r="C19" s="6">
        <v>1317.0</v>
      </c>
      <c r="D19" s="8">
        <f t="shared" ref="D19:E19" si="14">IFERROR(B19/B18-1,0)</f>
        <v>-0.2494727328</v>
      </c>
      <c r="E19" s="8">
        <f t="shared" si="14"/>
        <v>-0.001516300227</v>
      </c>
      <c r="F19" s="7">
        <v>2025.0</v>
      </c>
      <c r="G19" s="7" t="s">
        <v>26</v>
      </c>
    </row>
    <row r="20">
      <c r="A20" s="4">
        <v>45748.0</v>
      </c>
      <c r="B20" s="5">
        <v>1985.0</v>
      </c>
      <c r="C20" s="6">
        <v>1217.0</v>
      </c>
      <c r="D20" s="8">
        <f t="shared" ref="D20:E20" si="15">IFERROR(B20/B19-1,0)</f>
        <v>-0.2031312726</v>
      </c>
      <c r="E20" s="8">
        <f t="shared" si="15"/>
        <v>-0.07593014427</v>
      </c>
      <c r="F20" s="7">
        <v>2025.0</v>
      </c>
      <c r="G20" s="7" t="s">
        <v>26</v>
      </c>
    </row>
    <row r="21" ht="15.75" customHeight="1">
      <c r="A21" s="4">
        <v>45778.0</v>
      </c>
      <c r="B21" s="5">
        <v>1823.0</v>
      </c>
      <c r="C21" s="6">
        <v>1119.0</v>
      </c>
      <c r="D21" s="8">
        <f t="shared" ref="D21:E21" si="16">IFERROR(B21/B20-1,0)</f>
        <v>-0.08161209068</v>
      </c>
      <c r="E21" s="8">
        <f t="shared" si="16"/>
        <v>-0.08052588332</v>
      </c>
      <c r="F21" s="7">
        <v>2025.0</v>
      </c>
      <c r="G21" s="7" t="s">
        <v>26</v>
      </c>
    </row>
    <row r="22" ht="15.75" customHeight="1">
      <c r="A22" s="4">
        <v>45809.0</v>
      </c>
      <c r="B22" s="5">
        <v>1902.0</v>
      </c>
      <c r="C22" s="6">
        <v>1058.0</v>
      </c>
      <c r="D22" s="8">
        <f t="shared" ref="D22:E22" si="17">IFERROR(B22/B21-1,0)</f>
        <v>0.04333516182</v>
      </c>
      <c r="E22" s="8">
        <f t="shared" si="17"/>
        <v>-0.054512958</v>
      </c>
      <c r="F22" s="7">
        <v>2025.0</v>
      </c>
      <c r="G22" s="7" t="s">
        <v>26</v>
      </c>
    </row>
    <row r="23" ht="15.75" customHeight="1">
      <c r="A23" s="4">
        <v>45839.0</v>
      </c>
      <c r="B23" s="5">
        <v>2260.0</v>
      </c>
      <c r="C23" s="6">
        <v>1079.0</v>
      </c>
      <c r="D23" s="8">
        <f t="shared" ref="D23:E23" si="18">IFERROR(B23/B22-1,0)</f>
        <v>0.1882229232</v>
      </c>
      <c r="E23" s="8">
        <f t="shared" si="18"/>
        <v>0.01984877127</v>
      </c>
      <c r="F23" s="7">
        <v>2025.0</v>
      </c>
      <c r="G23" s="7" t="s">
        <v>26</v>
      </c>
    </row>
    <row r="24" ht="15.75" customHeight="1">
      <c r="A24" s="4">
        <v>45870.0</v>
      </c>
      <c r="B24" s="5">
        <v>1882.0</v>
      </c>
      <c r="C24" s="6">
        <v>1102.0</v>
      </c>
      <c r="D24" s="8">
        <f t="shared" ref="D24:E24" si="19">IFERROR(B24/B23-1,0)</f>
        <v>-0.1672566372</v>
      </c>
      <c r="E24" s="8">
        <f t="shared" si="19"/>
        <v>0.02131603336</v>
      </c>
      <c r="F24" s="7">
        <v>2025.0</v>
      </c>
      <c r="G24" s="7" t="s">
        <v>26</v>
      </c>
    </row>
    <row r="25" ht="15.75" customHeight="1">
      <c r="A25" s="4">
        <v>45901.0</v>
      </c>
      <c r="B25" s="5">
        <v>2240.0</v>
      </c>
      <c r="C25" s="6">
        <v>1161.0</v>
      </c>
      <c r="D25" s="8">
        <f t="shared" ref="D25:E25" si="20">IFERROR(B25/B24-1,0)</f>
        <v>0.1902231668</v>
      </c>
      <c r="E25" s="8">
        <f t="shared" si="20"/>
        <v>0.05353901996</v>
      </c>
      <c r="F25" s="7">
        <v>2025.0</v>
      </c>
      <c r="G25" s="7" t="s">
        <v>26</v>
      </c>
    </row>
    <row r="26" ht="15.75" customHeight="1">
      <c r="A26" s="4">
        <v>45931.0</v>
      </c>
      <c r="B26" s="5">
        <v>2330.0</v>
      </c>
      <c r="C26" s="6">
        <v>1157.0</v>
      </c>
      <c r="D26" s="8">
        <f t="shared" ref="D26:E26" si="21">IFERROR(B26/B25-1,0)</f>
        <v>0.04017857143</v>
      </c>
      <c r="E26" s="8">
        <f t="shared" si="21"/>
        <v>-0.003445305771</v>
      </c>
      <c r="F26" s="7">
        <v>2025.0</v>
      </c>
      <c r="G26" s="7" t="s">
        <v>26</v>
      </c>
    </row>
    <row r="27" ht="15.75" customHeight="1">
      <c r="A27" s="4">
        <v>45962.0</v>
      </c>
      <c r="B27" s="5">
        <v>2697.0</v>
      </c>
      <c r="C27" s="6">
        <v>1302.0</v>
      </c>
      <c r="D27" s="8">
        <f t="shared" ref="D27:E27" si="22">IFERROR(B27/B26-1,0)</f>
        <v>0.1575107296</v>
      </c>
      <c r="E27" s="8">
        <f t="shared" si="22"/>
        <v>0.1253241141</v>
      </c>
      <c r="F27" s="7">
        <v>2025.0</v>
      </c>
      <c r="G27" s="7" t="s">
        <v>26</v>
      </c>
    </row>
    <row r="28" ht="15.75" customHeight="1">
      <c r="A28" s="4">
        <v>45992.0</v>
      </c>
      <c r="B28" s="5">
        <v>2595.0</v>
      </c>
      <c r="C28" s="6">
        <v>1283.0</v>
      </c>
      <c r="D28" s="8">
        <f t="shared" ref="D28:E28" si="23">IFERROR(B28/B27-1,0)</f>
        <v>-0.03781979978</v>
      </c>
      <c r="E28" s="8">
        <f t="shared" si="23"/>
        <v>-0.01459293395</v>
      </c>
      <c r="F28" s="7">
        <v>2025.0</v>
      </c>
      <c r="G28" s="7" t="s">
        <v>26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7.0"/>
    <col customWidth="1" min="2" max="3" width="19.0"/>
    <col customWidth="1" min="4" max="4" width="21.0"/>
    <col customWidth="1" min="5" max="5" width="23.0"/>
    <col customWidth="1" min="6" max="6" width="21.0"/>
    <col customWidth="1" min="7" max="7" width="22.0"/>
    <col customWidth="1" min="8" max="8" width="23.0"/>
    <col customWidth="1" min="9" max="9" width="24.0"/>
    <col customWidth="1" min="10" max="10" width="12.0"/>
    <col customWidth="1" min="11" max="26" width="8.63"/>
  </cols>
  <sheetData>
    <row r="1" ht="37.5" customHeight="1">
      <c r="A1" s="1" t="s">
        <v>1</v>
      </c>
    </row>
    <row r="2" ht="27.0" customHeight="1">
      <c r="A2" s="2" t="s">
        <v>14</v>
      </c>
    </row>
    <row r="4" ht="28.5" customHeight="1">
      <c r="A4" s="3" t="s">
        <v>4</v>
      </c>
      <c r="B4" s="3" t="s">
        <v>17</v>
      </c>
      <c r="C4" s="3" t="s">
        <v>18</v>
      </c>
      <c r="D4" s="3" t="s">
        <v>19</v>
      </c>
      <c r="E4" s="3" t="s">
        <v>20</v>
      </c>
      <c r="F4" s="3" t="s">
        <v>21</v>
      </c>
      <c r="G4" s="3" t="s">
        <v>23</v>
      </c>
      <c r="H4" s="3" t="s">
        <v>24</v>
      </c>
      <c r="I4" s="3" t="s">
        <v>25</v>
      </c>
      <c r="J4" s="3" t="s">
        <v>10</v>
      </c>
      <c r="K4" s="3"/>
      <c r="L4" s="3"/>
    </row>
    <row r="5">
      <c r="A5" s="4">
        <v>45292.0</v>
      </c>
      <c r="B5" s="10">
        <v>1.24</v>
      </c>
      <c r="C5" s="10">
        <v>1.88</v>
      </c>
      <c r="D5" s="13">
        <f>'Vstupní parametry'!$B$11*'Vstupní parametry'!$B$13*B5/12</f>
        <v>576.6</v>
      </c>
      <c r="E5" s="13">
        <f>'Vstupní parametry'!$B$12*'Vstupní parametry'!$B$14*C5/12</f>
        <v>2252.083333</v>
      </c>
      <c r="F5" s="13">
        <f>D5*(1+'Vstupní parametry'!$B$17)</f>
        <v>611.196</v>
      </c>
      <c r="G5" s="13">
        <f>E5*(1+'Vstupní parametry'!$B$17)</f>
        <v>2387.208333</v>
      </c>
      <c r="H5" s="13">
        <f>F5*'Vstupní parametry'!$B$15</f>
        <v>519.5166</v>
      </c>
      <c r="I5" s="13">
        <f>G5*'Vstupní parametry'!$B$15</f>
        <v>2029.127083</v>
      </c>
      <c r="J5" s="7">
        <f t="shared" ref="J5:J28" si="1">YEAR(A5)</f>
        <v>2024</v>
      </c>
    </row>
    <row r="6">
      <c r="A6" s="4">
        <v>45323.0</v>
      </c>
      <c r="B6" s="10">
        <v>1.18</v>
      </c>
      <c r="C6" s="10">
        <v>1.73</v>
      </c>
      <c r="D6" s="13">
        <f>'Vstupní parametry'!$B$11*'Vstupní parametry'!$B$13*B6/12</f>
        <v>548.7</v>
      </c>
      <c r="E6" s="13">
        <f>'Vstupní parametry'!$B$12*'Vstupní parametry'!$B$14*C6/12</f>
        <v>2072.395833</v>
      </c>
      <c r="F6" s="13">
        <f>D6*(1+'Vstupní parametry'!$B$17)</f>
        <v>581.622</v>
      </c>
      <c r="G6" s="13">
        <f>E6*(1+'Vstupní parametry'!$B$17)</f>
        <v>2196.739583</v>
      </c>
      <c r="H6" s="13">
        <f>F6*'Vstupní parametry'!$B$15</f>
        <v>494.3787</v>
      </c>
      <c r="I6" s="13">
        <f>G6*'Vstupní parametry'!$B$15</f>
        <v>1867.228646</v>
      </c>
      <c r="J6" s="7">
        <f t="shared" si="1"/>
        <v>2024</v>
      </c>
    </row>
    <row r="7">
      <c r="A7" s="4">
        <v>45352.0</v>
      </c>
      <c r="B7" s="10">
        <v>1.07</v>
      </c>
      <c r="C7" s="10">
        <v>1.42</v>
      </c>
      <c r="D7" s="13">
        <f>'Vstupní parametry'!$B$11*'Vstupní parametry'!$B$13*B7/12</f>
        <v>497.55</v>
      </c>
      <c r="E7" s="13">
        <f>'Vstupní parametry'!$B$12*'Vstupní parametry'!$B$14*C7/12</f>
        <v>1701.041667</v>
      </c>
      <c r="F7" s="13">
        <f>D7*(1+'Vstupní parametry'!$B$17)</f>
        <v>527.403</v>
      </c>
      <c r="G7" s="13">
        <f>E7*(1+'Vstupní parametry'!$B$17)</f>
        <v>1803.104167</v>
      </c>
      <c r="H7" s="13">
        <f>F7*'Vstupní parametry'!$B$15</f>
        <v>448.29255</v>
      </c>
      <c r="I7" s="13">
        <f>G7*'Vstupní parametry'!$B$15</f>
        <v>1532.638542</v>
      </c>
      <c r="J7" s="7">
        <f t="shared" si="1"/>
        <v>2024</v>
      </c>
    </row>
    <row r="8">
      <c r="A8" s="4">
        <v>45383.0</v>
      </c>
      <c r="B8" s="10">
        <v>0.95</v>
      </c>
      <c r="C8" s="10">
        <v>0.93</v>
      </c>
      <c r="D8" s="13">
        <f>'Vstupní parametry'!$B$11*'Vstupní parametry'!$B$13*B8/12</f>
        <v>441.75</v>
      </c>
      <c r="E8" s="13">
        <f>'Vstupní parametry'!$B$12*'Vstupní parametry'!$B$14*C8/12</f>
        <v>1114.0625</v>
      </c>
      <c r="F8" s="13">
        <f>D8*(1+'Vstupní parametry'!$B$17)</f>
        <v>468.255</v>
      </c>
      <c r="G8" s="13">
        <f>E8*(1+'Vstupní parametry'!$B$17)</f>
        <v>1180.90625</v>
      </c>
      <c r="H8" s="13">
        <f>F8*'Vstupní parametry'!$B$15</f>
        <v>398.01675</v>
      </c>
      <c r="I8" s="13">
        <f>G8*'Vstupní parametry'!$B$15</f>
        <v>1003.770313</v>
      </c>
      <c r="J8" s="7">
        <f t="shared" si="1"/>
        <v>2024</v>
      </c>
    </row>
    <row r="9">
      <c r="A9" s="4">
        <v>45413.0</v>
      </c>
      <c r="B9" s="10">
        <v>0.86</v>
      </c>
      <c r="C9" s="10">
        <v>0.55</v>
      </c>
      <c r="D9" s="13">
        <f>'Vstupní parametry'!$B$11*'Vstupní parametry'!$B$13*B9/12</f>
        <v>399.9</v>
      </c>
      <c r="E9" s="13">
        <f>'Vstupní parametry'!$B$12*'Vstupní parametry'!$B$14*C9/12</f>
        <v>658.8541667</v>
      </c>
      <c r="F9" s="13">
        <f>D9*(1+'Vstupní parametry'!$B$17)</f>
        <v>423.894</v>
      </c>
      <c r="G9" s="13">
        <f>E9*(1+'Vstupní parametry'!$B$17)</f>
        <v>698.3854167</v>
      </c>
      <c r="H9" s="13">
        <f>F9*'Vstupní parametry'!$B$15</f>
        <v>360.3099</v>
      </c>
      <c r="I9" s="13">
        <f>G9*'Vstupní parametry'!$B$15</f>
        <v>593.6276042</v>
      </c>
      <c r="J9" s="7">
        <f t="shared" si="1"/>
        <v>2024</v>
      </c>
    </row>
    <row r="10">
      <c r="A10" s="4">
        <v>45444.0</v>
      </c>
      <c r="B10" s="10">
        <v>0.8</v>
      </c>
      <c r="C10" s="10">
        <v>0.33</v>
      </c>
      <c r="D10" s="13">
        <f>'Vstupní parametry'!$B$11*'Vstupní parametry'!$B$13*B10/12</f>
        <v>372</v>
      </c>
      <c r="E10" s="13">
        <f>'Vstupní parametry'!$B$12*'Vstupní parametry'!$B$14*C10/12</f>
        <v>395.3125</v>
      </c>
      <c r="F10" s="13">
        <f>D10*(1+'Vstupní parametry'!$B$17)</f>
        <v>394.32</v>
      </c>
      <c r="G10" s="13">
        <f>E10*(1+'Vstupní parametry'!$B$17)</f>
        <v>419.03125</v>
      </c>
      <c r="H10" s="13">
        <f>F10*'Vstupní parametry'!$B$15</f>
        <v>335.172</v>
      </c>
      <c r="I10" s="13">
        <f>G10*'Vstupní parametry'!$B$15</f>
        <v>356.1765625</v>
      </c>
      <c r="J10" s="7">
        <f t="shared" si="1"/>
        <v>2024</v>
      </c>
    </row>
    <row r="11">
      <c r="A11" s="4">
        <v>45474.0</v>
      </c>
      <c r="B11" s="10">
        <v>0.78</v>
      </c>
      <c r="C11" s="10">
        <v>0.28</v>
      </c>
      <c r="D11" s="13">
        <f>'Vstupní parametry'!$B$11*'Vstupní parametry'!$B$13*B11/12</f>
        <v>362.7</v>
      </c>
      <c r="E11" s="13">
        <f>'Vstupní parametry'!$B$12*'Vstupní parametry'!$B$14*C11/12</f>
        <v>335.4166667</v>
      </c>
      <c r="F11" s="13">
        <f>D11*(1+'Vstupní parametry'!$B$17)</f>
        <v>384.462</v>
      </c>
      <c r="G11" s="13">
        <f>E11*(1+'Vstupní parametry'!$B$17)</f>
        <v>355.5416667</v>
      </c>
      <c r="H11" s="13">
        <f>F11*'Vstupní parametry'!$B$15</f>
        <v>326.7927</v>
      </c>
      <c r="I11" s="13">
        <f>G11*'Vstupní parametry'!$B$15</f>
        <v>302.2104167</v>
      </c>
      <c r="J11" s="7">
        <f t="shared" si="1"/>
        <v>2024</v>
      </c>
    </row>
    <row r="12">
      <c r="A12" s="4">
        <v>45505.0</v>
      </c>
      <c r="B12" s="10">
        <v>0.82</v>
      </c>
      <c r="C12" s="10">
        <v>0.31</v>
      </c>
      <c r="D12" s="13">
        <f>'Vstupní parametry'!$B$11*'Vstupní parametry'!$B$13*B12/12</f>
        <v>381.3</v>
      </c>
      <c r="E12" s="13">
        <f>'Vstupní parametry'!$B$12*'Vstupní parametry'!$B$14*C12/12</f>
        <v>371.3541667</v>
      </c>
      <c r="F12" s="13">
        <f>D12*(1+'Vstupní parametry'!$B$17)</f>
        <v>404.178</v>
      </c>
      <c r="G12" s="13">
        <f>E12*(1+'Vstupní parametry'!$B$17)</f>
        <v>393.6354167</v>
      </c>
      <c r="H12" s="13">
        <f>F12*'Vstupní parametry'!$B$15</f>
        <v>343.5513</v>
      </c>
      <c r="I12" s="13">
        <f>G12*'Vstupní parametry'!$B$15</f>
        <v>334.5901042</v>
      </c>
      <c r="J12" s="7">
        <f t="shared" si="1"/>
        <v>2024</v>
      </c>
    </row>
    <row r="13">
      <c r="A13" s="4">
        <v>45536.0</v>
      </c>
      <c r="B13" s="10">
        <v>0.91</v>
      </c>
      <c r="C13" s="10">
        <v>0.57</v>
      </c>
      <c r="D13" s="13">
        <f>'Vstupní parametry'!$B$11*'Vstupní parametry'!$B$13*B13/12</f>
        <v>423.15</v>
      </c>
      <c r="E13" s="13">
        <f>'Vstupní parametry'!$B$12*'Vstupní parametry'!$B$14*C13/12</f>
        <v>682.8125</v>
      </c>
      <c r="F13" s="13">
        <f>D13*(1+'Vstupní parametry'!$B$17)</f>
        <v>448.539</v>
      </c>
      <c r="G13" s="13">
        <f>E13*(1+'Vstupní parametry'!$B$17)</f>
        <v>723.78125</v>
      </c>
      <c r="H13" s="13">
        <f>F13*'Vstupní parametry'!$B$15</f>
        <v>381.25815</v>
      </c>
      <c r="I13" s="13">
        <f>G13*'Vstupní parametry'!$B$15</f>
        <v>615.2140625</v>
      </c>
      <c r="J13" s="7">
        <f t="shared" si="1"/>
        <v>2024</v>
      </c>
    </row>
    <row r="14">
      <c r="A14" s="4">
        <v>45566.0</v>
      </c>
      <c r="B14" s="10">
        <v>1.02</v>
      </c>
      <c r="C14" s="10">
        <v>0.94</v>
      </c>
      <c r="D14" s="13">
        <f>'Vstupní parametry'!$B$11*'Vstupní parametry'!$B$13*B14/12</f>
        <v>474.3</v>
      </c>
      <c r="E14" s="13">
        <f>'Vstupní parametry'!$B$12*'Vstupní parametry'!$B$14*C14/12</f>
        <v>1126.041667</v>
      </c>
      <c r="F14" s="13">
        <f>D14*(1+'Vstupní parametry'!$B$17)</f>
        <v>502.758</v>
      </c>
      <c r="G14" s="13">
        <f>E14*(1+'Vstupní parametry'!$B$17)</f>
        <v>1193.604167</v>
      </c>
      <c r="H14" s="13">
        <f>F14*'Vstupní parametry'!$B$15</f>
        <v>427.3443</v>
      </c>
      <c r="I14" s="13">
        <f>G14*'Vstupní parametry'!$B$15</f>
        <v>1014.563542</v>
      </c>
      <c r="J14" s="7">
        <f t="shared" si="1"/>
        <v>2024</v>
      </c>
    </row>
    <row r="15">
      <c r="A15" s="4">
        <v>45597.0</v>
      </c>
      <c r="B15" s="10">
        <v>1.13</v>
      </c>
      <c r="C15" s="10">
        <v>1.38</v>
      </c>
      <c r="D15" s="13">
        <f>'Vstupní parametry'!$B$11*'Vstupní parametry'!$B$13*B15/12</f>
        <v>525.45</v>
      </c>
      <c r="E15" s="13">
        <f>'Vstupní parametry'!$B$12*'Vstupní parametry'!$B$14*C15/12</f>
        <v>1653.125</v>
      </c>
      <c r="F15" s="13">
        <f>D15*(1+'Vstupní parametry'!$B$17)</f>
        <v>556.977</v>
      </c>
      <c r="G15" s="13">
        <f>E15*(1+'Vstupní parametry'!$B$17)</f>
        <v>1752.3125</v>
      </c>
      <c r="H15" s="13">
        <f>F15*'Vstupní parametry'!$B$15</f>
        <v>473.43045</v>
      </c>
      <c r="I15" s="13">
        <f>G15*'Vstupní parametry'!$B$15</f>
        <v>1489.465625</v>
      </c>
      <c r="J15" s="7">
        <f t="shared" si="1"/>
        <v>2024</v>
      </c>
    </row>
    <row r="16">
      <c r="A16" s="4">
        <v>45627.0</v>
      </c>
      <c r="B16" s="10">
        <v>1.24</v>
      </c>
      <c r="C16" s="10">
        <v>1.68</v>
      </c>
      <c r="D16" s="13">
        <f>'Vstupní parametry'!$B$11*'Vstupní parametry'!$B$13*B16/12</f>
        <v>576.6</v>
      </c>
      <c r="E16" s="13">
        <f>'Vstupní parametry'!$B$12*'Vstupní parametry'!$B$14*C16/12</f>
        <v>2012.5</v>
      </c>
      <c r="F16" s="13">
        <f>D16*(1+'Vstupní parametry'!$B$17)</f>
        <v>611.196</v>
      </c>
      <c r="G16" s="13">
        <f>E16*(1+'Vstupní parametry'!$B$17)</f>
        <v>2133.25</v>
      </c>
      <c r="H16" s="13">
        <f>F16*'Vstupní parametry'!$B$15</f>
        <v>519.5166</v>
      </c>
      <c r="I16" s="13">
        <f>G16*'Vstupní parametry'!$B$15</f>
        <v>1813.2625</v>
      </c>
      <c r="J16" s="7">
        <f t="shared" si="1"/>
        <v>2024</v>
      </c>
    </row>
    <row r="17">
      <c r="A17" s="4">
        <v>45658.0</v>
      </c>
      <c r="B17" s="10">
        <v>1.24</v>
      </c>
      <c r="C17" s="10">
        <v>1.88</v>
      </c>
      <c r="D17" s="13">
        <f>'Vstupní parametry'!$B$11*'Vstupní parametry'!$B$13*B17/12</f>
        <v>576.6</v>
      </c>
      <c r="E17" s="13">
        <f>'Vstupní parametry'!$B$12*'Vstupní parametry'!$B$14*C17/12</f>
        <v>2252.083333</v>
      </c>
      <c r="F17" s="13">
        <f>D17*(1+'Vstupní parametry'!$B$17)</f>
        <v>611.196</v>
      </c>
      <c r="G17" s="13">
        <f>E17*(1+'Vstupní parametry'!$B$17)</f>
        <v>2387.208333</v>
      </c>
      <c r="H17" s="13">
        <f>F17*'Vstupní parametry'!$B$15</f>
        <v>519.5166</v>
      </c>
      <c r="I17" s="13">
        <f>G17*'Vstupní parametry'!$B$15</f>
        <v>2029.127083</v>
      </c>
      <c r="J17" s="7">
        <f t="shared" si="1"/>
        <v>2025</v>
      </c>
    </row>
    <row r="18">
      <c r="A18" s="4">
        <v>45689.0</v>
      </c>
      <c r="B18" s="10">
        <v>1.18</v>
      </c>
      <c r="C18" s="10">
        <v>1.73</v>
      </c>
      <c r="D18" s="13">
        <f>'Vstupní parametry'!$B$11*'Vstupní parametry'!$B$13*B18/12</f>
        <v>548.7</v>
      </c>
      <c r="E18" s="13">
        <f>'Vstupní parametry'!$B$12*'Vstupní parametry'!$B$14*C18/12</f>
        <v>2072.395833</v>
      </c>
      <c r="F18" s="13">
        <f>D18*(1+'Vstupní parametry'!$B$17)</f>
        <v>581.622</v>
      </c>
      <c r="G18" s="13">
        <f>E18*(1+'Vstupní parametry'!$B$17)</f>
        <v>2196.739583</v>
      </c>
      <c r="H18" s="13">
        <f>F18*'Vstupní parametry'!$B$15</f>
        <v>494.3787</v>
      </c>
      <c r="I18" s="13">
        <f>G18*'Vstupní parametry'!$B$15</f>
        <v>1867.228646</v>
      </c>
      <c r="J18" s="7">
        <f t="shared" si="1"/>
        <v>2025</v>
      </c>
    </row>
    <row r="19">
      <c r="A19" s="4">
        <v>45717.0</v>
      </c>
      <c r="B19" s="10">
        <v>1.07</v>
      </c>
      <c r="C19" s="10">
        <v>1.42</v>
      </c>
      <c r="D19" s="13">
        <f>'Vstupní parametry'!$B$11*'Vstupní parametry'!$B$13*B19/12</f>
        <v>497.55</v>
      </c>
      <c r="E19" s="13">
        <f>'Vstupní parametry'!$B$12*'Vstupní parametry'!$B$14*C19/12</f>
        <v>1701.041667</v>
      </c>
      <c r="F19" s="13">
        <f>D19*(1+'Vstupní parametry'!$B$17)</f>
        <v>527.403</v>
      </c>
      <c r="G19" s="13">
        <f>E19*(1+'Vstupní parametry'!$B$17)</f>
        <v>1803.104167</v>
      </c>
      <c r="H19" s="13">
        <f>F19*'Vstupní parametry'!$B$15</f>
        <v>448.29255</v>
      </c>
      <c r="I19" s="13">
        <f>G19*'Vstupní parametry'!$B$15</f>
        <v>1532.638542</v>
      </c>
      <c r="J19" s="7">
        <f t="shared" si="1"/>
        <v>2025</v>
      </c>
    </row>
    <row r="20">
      <c r="A20" s="4">
        <v>45748.0</v>
      </c>
      <c r="B20" s="10">
        <v>0.95</v>
      </c>
      <c r="C20" s="10">
        <v>0.93</v>
      </c>
      <c r="D20" s="13">
        <f>'Vstupní parametry'!$B$11*'Vstupní parametry'!$B$13*B20/12</f>
        <v>441.75</v>
      </c>
      <c r="E20" s="13">
        <f>'Vstupní parametry'!$B$12*'Vstupní parametry'!$B$14*C20/12</f>
        <v>1114.0625</v>
      </c>
      <c r="F20" s="13">
        <f>D20*(1+'Vstupní parametry'!$B$17)</f>
        <v>468.255</v>
      </c>
      <c r="G20" s="13">
        <f>E20*(1+'Vstupní parametry'!$B$17)</f>
        <v>1180.90625</v>
      </c>
      <c r="H20" s="13">
        <f>F20*'Vstupní parametry'!$B$15</f>
        <v>398.01675</v>
      </c>
      <c r="I20" s="13">
        <f>G20*'Vstupní parametry'!$B$15</f>
        <v>1003.770313</v>
      </c>
      <c r="J20" s="7">
        <f t="shared" si="1"/>
        <v>2025</v>
      </c>
    </row>
    <row r="21" ht="15.75" customHeight="1">
      <c r="A21" s="4">
        <v>45778.0</v>
      </c>
      <c r="B21" s="10">
        <v>0.86</v>
      </c>
      <c r="C21" s="10">
        <v>0.55</v>
      </c>
      <c r="D21" s="13">
        <f>'Vstupní parametry'!$B$11*'Vstupní parametry'!$B$13*B21/12</f>
        <v>399.9</v>
      </c>
      <c r="E21" s="13">
        <f>'Vstupní parametry'!$B$12*'Vstupní parametry'!$B$14*C21/12</f>
        <v>658.8541667</v>
      </c>
      <c r="F21" s="13">
        <f>D21*(1+'Vstupní parametry'!$B$17)</f>
        <v>423.894</v>
      </c>
      <c r="G21" s="13">
        <f>E21*(1+'Vstupní parametry'!$B$17)</f>
        <v>698.3854167</v>
      </c>
      <c r="H21" s="13">
        <f>F21*'Vstupní parametry'!$B$15</f>
        <v>360.3099</v>
      </c>
      <c r="I21" s="13">
        <f>G21*'Vstupní parametry'!$B$15</f>
        <v>593.6276042</v>
      </c>
      <c r="J21" s="7">
        <f t="shared" si="1"/>
        <v>2025</v>
      </c>
    </row>
    <row r="22" ht="15.75" customHeight="1">
      <c r="A22" s="4">
        <v>45809.0</v>
      </c>
      <c r="B22" s="10">
        <v>0.8</v>
      </c>
      <c r="C22" s="10">
        <v>0.33</v>
      </c>
      <c r="D22" s="13">
        <f>'Vstupní parametry'!$B$11*'Vstupní parametry'!$B$13*B22/12</f>
        <v>372</v>
      </c>
      <c r="E22" s="13">
        <f>'Vstupní parametry'!$B$12*'Vstupní parametry'!$B$14*C22/12</f>
        <v>395.3125</v>
      </c>
      <c r="F22" s="13">
        <f>D22*(1+'Vstupní parametry'!$B$17)</f>
        <v>394.32</v>
      </c>
      <c r="G22" s="13">
        <f>E22*(1+'Vstupní parametry'!$B$17)</f>
        <v>419.03125</v>
      </c>
      <c r="H22" s="13">
        <f>F22*'Vstupní parametry'!$B$15</f>
        <v>335.172</v>
      </c>
      <c r="I22" s="13">
        <f>G22*'Vstupní parametry'!$B$15</f>
        <v>356.1765625</v>
      </c>
      <c r="J22" s="7">
        <f t="shared" si="1"/>
        <v>2025</v>
      </c>
    </row>
    <row r="23" ht="15.75" customHeight="1">
      <c r="A23" s="4">
        <v>45839.0</v>
      </c>
      <c r="B23" s="10">
        <v>0.78</v>
      </c>
      <c r="C23" s="10">
        <v>0.28</v>
      </c>
      <c r="D23" s="13">
        <f>'Vstupní parametry'!$B$11*'Vstupní parametry'!$B$13*B23/12</f>
        <v>362.7</v>
      </c>
      <c r="E23" s="13">
        <f>'Vstupní parametry'!$B$12*'Vstupní parametry'!$B$14*C23/12</f>
        <v>335.4166667</v>
      </c>
      <c r="F23" s="13">
        <f>D23*(1+'Vstupní parametry'!$B$17)</f>
        <v>384.462</v>
      </c>
      <c r="G23" s="13">
        <f>E23*(1+'Vstupní parametry'!$B$17)</f>
        <v>355.5416667</v>
      </c>
      <c r="H23" s="13">
        <f>F23*'Vstupní parametry'!$B$15</f>
        <v>326.7927</v>
      </c>
      <c r="I23" s="13">
        <f>G23*'Vstupní parametry'!$B$15</f>
        <v>302.2104167</v>
      </c>
      <c r="J23" s="7">
        <f t="shared" si="1"/>
        <v>2025</v>
      </c>
    </row>
    <row r="24" ht="15.75" customHeight="1">
      <c r="A24" s="4">
        <v>45870.0</v>
      </c>
      <c r="B24" s="10">
        <v>0.82</v>
      </c>
      <c r="C24" s="10">
        <v>0.31</v>
      </c>
      <c r="D24" s="13">
        <f>'Vstupní parametry'!$B$11*'Vstupní parametry'!$B$13*B24/12</f>
        <v>381.3</v>
      </c>
      <c r="E24" s="13">
        <f>'Vstupní parametry'!$B$12*'Vstupní parametry'!$B$14*C24/12</f>
        <v>371.3541667</v>
      </c>
      <c r="F24" s="13">
        <f>D24*(1+'Vstupní parametry'!$B$17)</f>
        <v>404.178</v>
      </c>
      <c r="G24" s="13">
        <f>E24*(1+'Vstupní parametry'!$B$17)</f>
        <v>393.6354167</v>
      </c>
      <c r="H24" s="13">
        <f>F24*'Vstupní parametry'!$B$15</f>
        <v>343.5513</v>
      </c>
      <c r="I24" s="13">
        <f>G24*'Vstupní parametry'!$B$15</f>
        <v>334.5901042</v>
      </c>
      <c r="J24" s="7">
        <f t="shared" si="1"/>
        <v>2025</v>
      </c>
    </row>
    <row r="25" ht="15.75" customHeight="1">
      <c r="A25" s="4">
        <v>45901.0</v>
      </c>
      <c r="B25" s="10">
        <v>0.91</v>
      </c>
      <c r="C25" s="10">
        <v>0.57</v>
      </c>
      <c r="D25" s="13">
        <f>'Vstupní parametry'!$B$11*'Vstupní parametry'!$B$13*B25/12</f>
        <v>423.15</v>
      </c>
      <c r="E25" s="13">
        <f>'Vstupní parametry'!$B$12*'Vstupní parametry'!$B$14*C25/12</f>
        <v>682.8125</v>
      </c>
      <c r="F25" s="13">
        <f>D25*(1+'Vstupní parametry'!$B$17)</f>
        <v>448.539</v>
      </c>
      <c r="G25" s="13">
        <f>E25*(1+'Vstupní parametry'!$B$17)</f>
        <v>723.78125</v>
      </c>
      <c r="H25" s="13">
        <f>F25*'Vstupní parametry'!$B$15</f>
        <v>381.25815</v>
      </c>
      <c r="I25" s="13">
        <f>G25*'Vstupní parametry'!$B$15</f>
        <v>615.2140625</v>
      </c>
      <c r="J25" s="7">
        <f t="shared" si="1"/>
        <v>2025</v>
      </c>
    </row>
    <row r="26" ht="15.75" customHeight="1">
      <c r="A26" s="4">
        <v>45931.0</v>
      </c>
      <c r="B26" s="10">
        <v>1.02</v>
      </c>
      <c r="C26" s="10">
        <v>0.94</v>
      </c>
      <c r="D26" s="13">
        <f>'Vstupní parametry'!$B$11*'Vstupní parametry'!$B$13*B26/12</f>
        <v>474.3</v>
      </c>
      <c r="E26" s="13">
        <f>'Vstupní parametry'!$B$12*'Vstupní parametry'!$B$14*C26/12</f>
        <v>1126.041667</v>
      </c>
      <c r="F26" s="13">
        <f>D26*(1+'Vstupní parametry'!$B$17)</f>
        <v>502.758</v>
      </c>
      <c r="G26" s="13">
        <f>E26*(1+'Vstupní parametry'!$B$17)</f>
        <v>1193.604167</v>
      </c>
      <c r="H26" s="13">
        <f>F26*'Vstupní parametry'!$B$15</f>
        <v>427.3443</v>
      </c>
      <c r="I26" s="13">
        <f>G26*'Vstupní parametry'!$B$15</f>
        <v>1014.563542</v>
      </c>
      <c r="J26" s="7">
        <f t="shared" si="1"/>
        <v>2025</v>
      </c>
    </row>
    <row r="27" ht="15.75" customHeight="1">
      <c r="A27" s="4">
        <v>45962.0</v>
      </c>
      <c r="B27" s="10">
        <v>1.13</v>
      </c>
      <c r="C27" s="10">
        <v>1.38</v>
      </c>
      <c r="D27" s="13">
        <f>'Vstupní parametry'!$B$11*'Vstupní parametry'!$B$13*B27/12</f>
        <v>525.45</v>
      </c>
      <c r="E27" s="13">
        <f>'Vstupní parametry'!$B$12*'Vstupní parametry'!$B$14*C27/12</f>
        <v>1653.125</v>
      </c>
      <c r="F27" s="13">
        <f>D27*(1+'Vstupní parametry'!$B$17)</f>
        <v>556.977</v>
      </c>
      <c r="G27" s="13">
        <f>E27*(1+'Vstupní parametry'!$B$17)</f>
        <v>1752.3125</v>
      </c>
      <c r="H27" s="13">
        <f>F27*'Vstupní parametry'!$B$15</f>
        <v>473.43045</v>
      </c>
      <c r="I27" s="13">
        <f>G27*'Vstupní parametry'!$B$15</f>
        <v>1489.465625</v>
      </c>
      <c r="J27" s="7">
        <f t="shared" si="1"/>
        <v>2025</v>
      </c>
    </row>
    <row r="28" ht="15.75" customHeight="1">
      <c r="A28" s="4">
        <v>45992.0</v>
      </c>
      <c r="B28" s="10">
        <v>1.24</v>
      </c>
      <c r="C28" s="10">
        <v>1.68</v>
      </c>
      <c r="D28" s="13">
        <f>'Vstupní parametry'!$B$11*'Vstupní parametry'!$B$13*B28/12</f>
        <v>576.6</v>
      </c>
      <c r="E28" s="13">
        <f>'Vstupní parametry'!$B$12*'Vstupní parametry'!$B$14*C28/12</f>
        <v>2012.5</v>
      </c>
      <c r="F28" s="13">
        <f>D28*(1+'Vstupní parametry'!$B$17)</f>
        <v>611.196</v>
      </c>
      <c r="G28" s="13">
        <f>E28*(1+'Vstupní parametry'!$B$17)</f>
        <v>2133.25</v>
      </c>
      <c r="H28" s="13">
        <f>F28*'Vstupní parametry'!$B$15</f>
        <v>519.5166</v>
      </c>
      <c r="I28" s="13">
        <f>G28*'Vstupní parametry'!$B$15</f>
        <v>1813.2625</v>
      </c>
      <c r="J28" s="7">
        <f t="shared" si="1"/>
        <v>2025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16.0"/>
    <col customWidth="1" min="2" max="3" width="21.0"/>
    <col customWidth="1" min="4" max="5" width="22.0"/>
    <col customWidth="1" min="6" max="7" width="20.0"/>
    <col customWidth="1" min="8" max="8" width="22.0"/>
    <col customWidth="1" min="9" max="10" width="20.0"/>
    <col customWidth="1" min="11" max="11" width="22.0"/>
    <col customWidth="1" min="12" max="12" width="21.0"/>
    <col customWidth="1" min="13" max="26" width="8.63"/>
  </cols>
  <sheetData>
    <row r="1" ht="37.5" customHeight="1">
      <c r="A1" s="1" t="s">
        <v>75</v>
      </c>
    </row>
    <row r="2" ht="27.0" customHeight="1">
      <c r="A2" s="2" t="s">
        <v>76</v>
      </c>
    </row>
    <row r="4" ht="28.5" customHeight="1">
      <c r="A4" s="3" t="s">
        <v>4</v>
      </c>
      <c r="B4" s="3" t="s">
        <v>77</v>
      </c>
      <c r="C4" s="3" t="s">
        <v>78</v>
      </c>
      <c r="D4" s="3" t="s">
        <v>79</v>
      </c>
      <c r="E4" s="3" t="s">
        <v>80</v>
      </c>
      <c r="F4" s="3" t="s">
        <v>81</v>
      </c>
      <c r="G4" s="3" t="s">
        <v>82</v>
      </c>
      <c r="H4" s="3" t="s">
        <v>83</v>
      </c>
      <c r="I4" s="3" t="s">
        <v>84</v>
      </c>
      <c r="J4" s="3" t="s">
        <v>85</v>
      </c>
      <c r="K4" s="3" t="s">
        <v>86</v>
      </c>
      <c r="L4" s="3" t="s">
        <v>87</v>
      </c>
    </row>
    <row r="5">
      <c r="A5" s="4">
        <f>'Tržní data'!A5</f>
        <v>45292</v>
      </c>
      <c r="B5" s="18">
        <f>'Tržní data'!B5</f>
        <v>2063</v>
      </c>
      <c r="C5" s="18">
        <f>B5*(1+'Vstupní parametry'!$B$5+'Vstupní parametry'!$B$9)+'Vstupní parametry'!$B$7</f>
        <v>2518.395</v>
      </c>
      <c r="D5" s="18">
        <f>'Tržní data'!C5</f>
        <v>1448</v>
      </c>
      <c r="E5" s="18">
        <f>D5*(1+'Vstupní parametry'!$B$6+'Vstupní parametry'!$B$10)+'Vstupní parametry'!$B$8</f>
        <v>1735.72</v>
      </c>
      <c r="F5" s="18">
        <f>C5*'Spotřeba a plán'!D5</f>
        <v>1452106.557</v>
      </c>
      <c r="G5" s="18">
        <f>B5*'Spotřeba a plán'!F5+'Vstupní parametry'!$B$7*'Spotřeba a plán'!D5</f>
        <v>1327206.348</v>
      </c>
      <c r="H5" s="18">
        <f t="shared" ref="H5:H28" si="1">F5-G5</f>
        <v>124900.209</v>
      </c>
      <c r="I5" s="18">
        <f>E5*'Spotřeba a plán'!E5</f>
        <v>3908986.083</v>
      </c>
      <c r="J5" s="18">
        <f>D5*'Spotřeba a plán'!G5+'Vstupní parametry'!$B$8*'Spotřeba a plán'!E5</f>
        <v>3648104.75</v>
      </c>
      <c r="K5" s="18">
        <f t="shared" ref="K5:K28" si="2">I5-J5</f>
        <v>260881.3333</v>
      </c>
      <c r="L5" s="18">
        <f t="shared" ref="L5:L28" si="3">H5+K5</f>
        <v>385781.5423</v>
      </c>
    </row>
    <row r="6">
      <c r="A6" s="4">
        <f>'Tržní data'!A6</f>
        <v>45323</v>
      </c>
      <c r="B6" s="18">
        <f>'Tržní data'!B6</f>
        <v>1751</v>
      </c>
      <c r="C6" s="18">
        <f>B6*(1+'Vstupní parametry'!$B$5+'Vstupní parametry'!$B$9)+'Vstupní parametry'!$B$7</f>
        <v>2154.915</v>
      </c>
      <c r="D6" s="18">
        <f>'Tržní data'!C6</f>
        <v>1418</v>
      </c>
      <c r="E6" s="18">
        <f>D6*(1+'Vstupní parametry'!$B$6+'Vstupní parametry'!$B$10)+'Vstupní parametry'!$B$8</f>
        <v>1701.52</v>
      </c>
      <c r="F6" s="18">
        <f>C6*'Spotřeba a plán'!D6</f>
        <v>1182401.861</v>
      </c>
      <c r="G6" s="18">
        <f>B6*'Spotřeba a plán'!F6+'Vstupní parametry'!$B$7*'Spotřeba a plán'!D6</f>
        <v>1081520.622</v>
      </c>
      <c r="H6" s="18">
        <f t="shared" si="1"/>
        <v>100881.2385</v>
      </c>
      <c r="I6" s="18">
        <f>E6*'Spotřeba a plán'!E6</f>
        <v>3526222.958</v>
      </c>
      <c r="J6" s="18">
        <f>D6*'Spotřeba a plán'!G6+'Vstupní parametry'!$B$8*'Spotřeba a plán'!E6</f>
        <v>3291130.375</v>
      </c>
      <c r="K6" s="18">
        <f t="shared" si="2"/>
        <v>235092.5833</v>
      </c>
      <c r="L6" s="18">
        <f t="shared" si="3"/>
        <v>335973.8218</v>
      </c>
    </row>
    <row r="7">
      <c r="A7" s="4">
        <f>'Tržní data'!A7</f>
        <v>45352</v>
      </c>
      <c r="B7" s="18">
        <f>'Tržní data'!B7</f>
        <v>1650</v>
      </c>
      <c r="C7" s="18">
        <f>B7*(1+'Vstupní parametry'!$B$5+'Vstupní parametry'!$B$9)+'Vstupní parametry'!$B$7</f>
        <v>2037.25</v>
      </c>
      <c r="D7" s="18">
        <f>'Tržní data'!C7</f>
        <v>1340</v>
      </c>
      <c r="E7" s="18">
        <f>D7*(1+'Vstupní parametry'!$B$6+'Vstupní parametry'!$B$10)+'Vstupní parametry'!$B$8</f>
        <v>1612.6</v>
      </c>
      <c r="F7" s="18">
        <f>C7*'Spotřeba a plán'!D7</f>
        <v>1013633.738</v>
      </c>
      <c r="G7" s="18">
        <f>B7*'Spotřeba a plán'!F7+'Vstupní parametry'!$B$7*'Spotřeba a plán'!D7</f>
        <v>927433.2</v>
      </c>
      <c r="H7" s="18">
        <f t="shared" si="1"/>
        <v>86200.5375</v>
      </c>
      <c r="I7" s="18">
        <f>E7*'Spotřeba a plán'!E7</f>
        <v>2743099.792</v>
      </c>
      <c r="J7" s="18">
        <f>D7*'Spotřeba a plán'!G7+'Vstupní parametry'!$B$8*'Spotřeba a plán'!E7</f>
        <v>2560748.125</v>
      </c>
      <c r="K7" s="18">
        <f t="shared" si="2"/>
        <v>182351.6667</v>
      </c>
      <c r="L7" s="18">
        <f t="shared" si="3"/>
        <v>268552.2042</v>
      </c>
    </row>
    <row r="8">
      <c r="A8" s="4">
        <f>'Tržní data'!A8</f>
        <v>45383</v>
      </c>
      <c r="B8" s="18">
        <f>'Tržní data'!B8</f>
        <v>1587</v>
      </c>
      <c r="C8" s="18">
        <f>B8*(1+'Vstupní parametry'!$B$5+'Vstupní parametry'!$B$9)+'Vstupní parametry'!$B$7</f>
        <v>1963.855</v>
      </c>
      <c r="D8" s="18">
        <f>'Tržní data'!C8</f>
        <v>1331</v>
      </c>
      <c r="E8" s="18">
        <f>D8*(1+'Vstupní parametry'!$B$6+'Vstupní parametry'!$B$10)+'Vstupní parametry'!$B$8</f>
        <v>1602.34</v>
      </c>
      <c r="F8" s="18">
        <f>C8*'Spotřeba a plán'!D8</f>
        <v>867532.9463</v>
      </c>
      <c r="G8" s="18">
        <f>B8*'Spotřeba a plán'!F8+'Vstupní parametry'!$B$7*'Spotřeba a plán'!D8</f>
        <v>793921.935</v>
      </c>
      <c r="H8" s="18">
        <f t="shared" si="1"/>
        <v>73611.01125</v>
      </c>
      <c r="I8" s="18">
        <f>E8*'Spotřeba a plán'!E8</f>
        <v>1785106.906</v>
      </c>
      <c r="J8" s="18">
        <f>D8*'Spotřeba a plán'!G8+'Vstupní parametry'!$B$8*'Spotřeba a plán'!E8</f>
        <v>1666481.531</v>
      </c>
      <c r="K8" s="18">
        <f t="shared" si="2"/>
        <v>118625.375</v>
      </c>
      <c r="L8" s="18">
        <f t="shared" si="3"/>
        <v>192236.3863</v>
      </c>
    </row>
    <row r="9">
      <c r="A9" s="4">
        <f>'Tržní data'!A9</f>
        <v>45413</v>
      </c>
      <c r="B9" s="18">
        <f>'Tržní data'!B9</f>
        <v>1704</v>
      </c>
      <c r="C9" s="18">
        <f>B9*(1+'Vstupní parametry'!$B$5+'Vstupní parametry'!$B$9)+'Vstupní parametry'!$B$7</f>
        <v>2100.16</v>
      </c>
      <c r="D9" s="18">
        <f>'Tržní data'!C9</f>
        <v>1190</v>
      </c>
      <c r="E9" s="18">
        <f>D9*(1+'Vstupní parametry'!$B$6+'Vstupní parametry'!$B$10)+'Vstupní parametry'!$B$8</f>
        <v>1441.6</v>
      </c>
      <c r="F9" s="18">
        <f>C9*'Spotřeba a plán'!D9</f>
        <v>839853.984</v>
      </c>
      <c r="G9" s="18">
        <f>B9*'Spotřeba a plán'!F9+'Vstupní parametry'!$B$7*'Spotřeba a plán'!D9</f>
        <v>768303.876</v>
      </c>
      <c r="H9" s="18">
        <f t="shared" si="1"/>
        <v>71550.108</v>
      </c>
      <c r="I9" s="18">
        <f>E9*'Spotřeba a plán'!E9</f>
        <v>949804.1667</v>
      </c>
      <c r="J9" s="18">
        <f>D9*'Spotřeba a plán'!G9+'Vstupní parametry'!$B$8*'Spotřeba a plán'!E9</f>
        <v>887081.25</v>
      </c>
      <c r="K9" s="18">
        <f t="shared" si="2"/>
        <v>62722.91667</v>
      </c>
      <c r="L9" s="18">
        <f t="shared" si="3"/>
        <v>134273.0247</v>
      </c>
    </row>
    <row r="10">
      <c r="A10" s="4">
        <f>'Tržní data'!A10</f>
        <v>45444</v>
      </c>
      <c r="B10" s="18">
        <f>'Tržní data'!B10</f>
        <v>1908</v>
      </c>
      <c r="C10" s="18">
        <f>B10*(1+'Vstupní parametry'!$B$5+'Vstupní parametry'!$B$9)+'Vstupní parametry'!$B$7</f>
        <v>2337.82</v>
      </c>
      <c r="D10" s="18">
        <f>'Tržní data'!C10</f>
        <v>1153</v>
      </c>
      <c r="E10" s="18">
        <f>D10*(1+'Vstupní parametry'!$B$6+'Vstupní parametry'!$B$10)+'Vstupní parametry'!$B$8</f>
        <v>1399.42</v>
      </c>
      <c r="F10" s="18">
        <f>C10*'Spotřeba a plán'!D10</f>
        <v>869669.04</v>
      </c>
      <c r="G10" s="18">
        <f>B10*'Spotřeba a plán'!F10+'Vstupní parametry'!$B$7*'Spotřeba a plán'!D10</f>
        <v>795142.56</v>
      </c>
      <c r="H10" s="18">
        <f t="shared" si="1"/>
        <v>74526.48</v>
      </c>
      <c r="I10" s="18">
        <f>E10*'Spotřeba a plán'!E10</f>
        <v>553208.2188</v>
      </c>
      <c r="J10" s="18">
        <f>D10*'Spotřeba a plán'!G10+'Vstupní parametry'!$B$8*'Spotřeba a plán'!E10</f>
        <v>516744.5938</v>
      </c>
      <c r="K10" s="18">
        <f t="shared" si="2"/>
        <v>36463.625</v>
      </c>
      <c r="L10" s="18">
        <f t="shared" si="3"/>
        <v>110990.105</v>
      </c>
    </row>
    <row r="11">
      <c r="A11" s="4">
        <f>'Tržní data'!A11</f>
        <v>45474</v>
      </c>
      <c r="B11" s="18">
        <f>'Tržní data'!B11</f>
        <v>1779</v>
      </c>
      <c r="C11" s="18">
        <f>B11*(1+'Vstupní parametry'!$B$5+'Vstupní parametry'!$B$9)+'Vstupní parametry'!$B$7</f>
        <v>2187.535</v>
      </c>
      <c r="D11" s="18">
        <f>'Tržní data'!C11</f>
        <v>1203</v>
      </c>
      <c r="E11" s="18">
        <f>D11*(1+'Vstupní parametry'!$B$6+'Vstupní parametry'!$B$10)+'Vstupní parametry'!$B$8</f>
        <v>1456.42</v>
      </c>
      <c r="F11" s="18">
        <f>C11*'Spotřeba a plán'!D11</f>
        <v>793418.9445</v>
      </c>
      <c r="G11" s="18">
        <f>B11*'Spotřeba a plán'!F11+'Vstupní parametry'!$B$7*'Spotřeba a plán'!D11</f>
        <v>725668.398</v>
      </c>
      <c r="H11" s="18">
        <f t="shared" si="1"/>
        <v>67750.5465</v>
      </c>
      <c r="I11" s="18">
        <f>E11*'Spotřeba a plán'!E11</f>
        <v>488507.5417</v>
      </c>
      <c r="J11" s="18">
        <f>D11*'Spotřeba a plán'!G11+'Vstupní parametry'!$B$8*'Spotřeba a plán'!E11</f>
        <v>456227.0417</v>
      </c>
      <c r="K11" s="18">
        <f t="shared" si="2"/>
        <v>32280.5</v>
      </c>
      <c r="L11" s="18">
        <f t="shared" si="3"/>
        <v>100031.0465</v>
      </c>
    </row>
    <row r="12">
      <c r="A12" s="4">
        <f>'Tržní data'!A12</f>
        <v>45505</v>
      </c>
      <c r="B12" s="18">
        <f>'Tržní data'!B12</f>
        <v>2222</v>
      </c>
      <c r="C12" s="18">
        <f>B12*(1+'Vstupní parametry'!$B$5+'Vstupní parametry'!$B$9)+'Vstupní parametry'!$B$7</f>
        <v>2703.63</v>
      </c>
      <c r="D12" s="18">
        <f>'Tržní data'!C12</f>
        <v>1142</v>
      </c>
      <c r="E12" s="18">
        <f>D12*(1+'Vstupní parametry'!$B$6+'Vstupní parametry'!$B$10)+'Vstupní parametry'!$B$8</f>
        <v>1386.88</v>
      </c>
      <c r="F12" s="18">
        <f>C12*'Spotřeba a plán'!D12</f>
        <v>1030894.119</v>
      </c>
      <c r="G12" s="18">
        <f>B12*'Spotřeba a plán'!F12+'Vstupní parametry'!$B$7*'Spotřeba a plán'!D12</f>
        <v>941933.016</v>
      </c>
      <c r="H12" s="18">
        <f t="shared" si="1"/>
        <v>88961.103</v>
      </c>
      <c r="I12" s="18">
        <f>E12*'Spotřeba a plán'!E12</f>
        <v>515023.6667</v>
      </c>
      <c r="J12" s="18">
        <f>D12*'Spotřeba a plán'!G12+'Vstupní parametry'!$B$8*'Spotřeba a plán'!E12</f>
        <v>481096.75</v>
      </c>
      <c r="K12" s="18">
        <f t="shared" si="2"/>
        <v>33926.91667</v>
      </c>
      <c r="L12" s="18">
        <f t="shared" si="3"/>
        <v>122888.0197</v>
      </c>
    </row>
    <row r="13">
      <c r="A13" s="4">
        <f>'Tržní data'!A13</f>
        <v>45536</v>
      </c>
      <c r="B13" s="18">
        <f>'Tržní data'!B13</f>
        <v>2069</v>
      </c>
      <c r="C13" s="18">
        <f>B13*(1+'Vstupní parametry'!$B$5+'Vstupní parametry'!$B$9)+'Vstupní parametry'!$B$7</f>
        <v>2525.385</v>
      </c>
      <c r="D13" s="18">
        <f>'Tržní data'!C13</f>
        <v>1254</v>
      </c>
      <c r="E13" s="18">
        <f>D13*(1+'Vstupní parametry'!$B$6+'Vstupní parametry'!$B$10)+'Vstupní parametry'!$B$8</f>
        <v>1514.56</v>
      </c>
      <c r="F13" s="18">
        <f>C13*'Spotřeba a plán'!D13</f>
        <v>1068616.663</v>
      </c>
      <c r="G13" s="18">
        <f>B13*'Spotřeba a plán'!F13+'Vstupní parametry'!$B$7*'Spotřeba a plán'!D13</f>
        <v>976689.441</v>
      </c>
      <c r="H13" s="18">
        <f t="shared" si="1"/>
        <v>91927.22175</v>
      </c>
      <c r="I13" s="18">
        <f>E13*'Spotřeba a plán'!E13</f>
        <v>1034160.5</v>
      </c>
      <c r="J13" s="18">
        <f>D13*'Spotřeba a plán'!G13+'Vstupní parametry'!$B$8*'Spotřeba a plán'!E13</f>
        <v>965660.75</v>
      </c>
      <c r="K13" s="18">
        <f t="shared" si="2"/>
        <v>68499.75</v>
      </c>
      <c r="L13" s="18">
        <f t="shared" si="3"/>
        <v>160426.9718</v>
      </c>
    </row>
    <row r="14">
      <c r="A14" s="4">
        <f>'Tržní data'!A14</f>
        <v>45566</v>
      </c>
      <c r="B14" s="18">
        <f>'Tržní data'!B14</f>
        <v>2252</v>
      </c>
      <c r="C14" s="18">
        <f>B14*(1+'Vstupní parametry'!$B$5+'Vstupní parametry'!$B$9)+'Vstupní parametry'!$B$7</f>
        <v>2738.58</v>
      </c>
      <c r="D14" s="18">
        <f>'Tržní data'!C14</f>
        <v>1292</v>
      </c>
      <c r="E14" s="18">
        <f>D14*(1+'Vstupní parametry'!$B$6+'Vstupní parametry'!$B$10)+'Vstupní parametry'!$B$8</f>
        <v>1557.88</v>
      </c>
      <c r="F14" s="18">
        <f>C14*'Spotřeba a plán'!D14</f>
        <v>1298908.494</v>
      </c>
      <c r="G14" s="18">
        <f>B14*'Spotřeba a plán'!F14+'Vstupní parametry'!$B$7*'Spotřeba a plán'!D14</f>
        <v>1186755.516</v>
      </c>
      <c r="H14" s="18">
        <f t="shared" si="1"/>
        <v>112152.978</v>
      </c>
      <c r="I14" s="18">
        <f>E14*'Spotřeba a plán'!E14</f>
        <v>1754237.792</v>
      </c>
      <c r="J14" s="18">
        <f>D14*'Spotřeba a plán'!G14+'Vstupní parametry'!$B$8*'Spotřeba a plán'!E14</f>
        <v>1637850.125</v>
      </c>
      <c r="K14" s="18">
        <f t="shared" si="2"/>
        <v>116387.6667</v>
      </c>
      <c r="L14" s="18">
        <f t="shared" si="3"/>
        <v>228540.6447</v>
      </c>
    </row>
    <row r="15">
      <c r="A15" s="4">
        <f>'Tržní data'!A15</f>
        <v>45597</v>
      </c>
      <c r="B15" s="18">
        <f>'Tržní data'!B15</f>
        <v>3366</v>
      </c>
      <c r="C15" s="18">
        <f>B15*(1+'Vstupní parametry'!$B$5+'Vstupní parametry'!$B$9)+'Vstupní parametry'!$B$7</f>
        <v>4036.39</v>
      </c>
      <c r="D15" s="18">
        <f>'Tržní data'!C15</f>
        <v>1287</v>
      </c>
      <c r="E15" s="18">
        <f>D15*(1+'Vstupní parametry'!$B$6+'Vstupní parametry'!$B$10)+'Vstupní parametry'!$B$8</f>
        <v>1552.18</v>
      </c>
      <c r="F15" s="18">
        <f>C15*'Spotřeba a plán'!D15</f>
        <v>2120921.126</v>
      </c>
      <c r="G15" s="18">
        <f>B15*'Spotřeba a plán'!F15+'Vstupní parametry'!$B$7*'Spotřeba a plán'!D15</f>
        <v>1935211.332</v>
      </c>
      <c r="H15" s="18">
        <f t="shared" si="1"/>
        <v>185709.7935</v>
      </c>
      <c r="I15" s="18">
        <f>E15*'Spotřeba a plán'!E15</f>
        <v>2565947.563</v>
      </c>
      <c r="J15" s="18">
        <f>D15*'Spotřeba a plán'!G15+'Vstupní parametry'!$B$8*'Spotřeba a plán'!E15</f>
        <v>2395741.813</v>
      </c>
      <c r="K15" s="18">
        <f t="shared" si="2"/>
        <v>170205.75</v>
      </c>
      <c r="L15" s="18">
        <f t="shared" si="3"/>
        <v>355915.5435</v>
      </c>
    </row>
    <row r="16">
      <c r="A16" s="4">
        <f>'Tržní data'!A16</f>
        <v>45627</v>
      </c>
      <c r="B16" s="18">
        <f>'Tržní data'!B16</f>
        <v>3334</v>
      </c>
      <c r="C16" s="18">
        <f>B16*(1+'Vstupní parametry'!$B$5+'Vstupní parametry'!$B$9)+'Vstupní parametry'!$B$7</f>
        <v>3999.11</v>
      </c>
      <c r="D16" s="18">
        <f>'Tržní data'!C16</f>
        <v>1319</v>
      </c>
      <c r="E16" s="18">
        <f>D16*(1+'Vstupní parametry'!$B$6+'Vstupní parametry'!$B$10)+'Vstupní parametry'!$B$8</f>
        <v>1588.66</v>
      </c>
      <c r="F16" s="18">
        <f>C16*'Spotřeba a plán'!D16</f>
        <v>2305886.826</v>
      </c>
      <c r="G16" s="18">
        <f>B16*'Spotřeba a plán'!F16+'Vstupní parametry'!$B$7*'Spotřeba a plán'!D16</f>
        <v>2104036.464</v>
      </c>
      <c r="H16" s="18">
        <f t="shared" si="1"/>
        <v>201850.362</v>
      </c>
      <c r="I16" s="18">
        <f>E16*'Spotřeba a plán'!E16</f>
        <v>3197178.25</v>
      </c>
      <c r="J16" s="18">
        <f>D16*'Spotřeba a plán'!G16+'Vstupní parametry'!$B$8*'Spotřeba a plán'!E16</f>
        <v>2984819.25</v>
      </c>
      <c r="K16" s="18">
        <f t="shared" si="2"/>
        <v>212359</v>
      </c>
      <c r="L16" s="18">
        <f t="shared" si="3"/>
        <v>414209.362</v>
      </c>
    </row>
    <row r="17">
      <c r="A17" s="4">
        <f>'Tržní data'!A17</f>
        <v>45658</v>
      </c>
      <c r="B17" s="18">
        <f>'Tržní data'!B17</f>
        <v>3231</v>
      </c>
      <c r="C17" s="18">
        <f>B17*(1+'Vstupní parametry'!$B$5+'Vstupní parametry'!$B$9)+'Vstupní parametry'!$B$7</f>
        <v>3879.115</v>
      </c>
      <c r="D17" s="18">
        <f>'Tržní data'!C17</f>
        <v>1427</v>
      </c>
      <c r="E17" s="18">
        <f>D17*(1+'Vstupní parametry'!$B$6+'Vstupní parametry'!$B$10)+'Vstupní parametry'!$B$8</f>
        <v>1711.78</v>
      </c>
      <c r="F17" s="18">
        <f>C17*'Spotřeba a plán'!D17</f>
        <v>2236697.709</v>
      </c>
      <c r="G17" s="18">
        <f>B17*'Spotřeba a plán'!F17+'Vstupní parametry'!$B$7*'Spotřeba a plán'!D17</f>
        <v>2041083.276</v>
      </c>
      <c r="H17" s="18">
        <f t="shared" si="1"/>
        <v>195614.433</v>
      </c>
      <c r="I17" s="18">
        <f>E17*'Spotřeba a plán'!E17</f>
        <v>3855071.208</v>
      </c>
      <c r="J17" s="18">
        <f>D17*'Spotřeba a plán'!G17+'Vstupní parametry'!$B$8*'Spotřeba a plán'!E17</f>
        <v>3597973.375</v>
      </c>
      <c r="K17" s="18">
        <f t="shared" si="2"/>
        <v>257097.8333</v>
      </c>
      <c r="L17" s="18">
        <f t="shared" si="3"/>
        <v>452712.2663</v>
      </c>
    </row>
    <row r="18">
      <c r="A18" s="4">
        <f>'Tržní data'!A18</f>
        <v>45689</v>
      </c>
      <c r="B18" s="18">
        <f>'Tržní data'!B18</f>
        <v>3319</v>
      </c>
      <c r="C18" s="18">
        <f>B18*(1+'Vstupní parametry'!$B$5+'Vstupní parametry'!$B$9)+'Vstupní parametry'!$B$7</f>
        <v>3981.635</v>
      </c>
      <c r="D18" s="18">
        <f>'Tržní data'!C18</f>
        <v>1319</v>
      </c>
      <c r="E18" s="18">
        <f>D18*(1+'Vstupní parametry'!$B$6+'Vstupní parametry'!$B$10)+'Vstupní parametry'!$B$8</f>
        <v>1588.66</v>
      </c>
      <c r="F18" s="18">
        <f>C18*'Spotřeba a plán'!D18</f>
        <v>2184723.125</v>
      </c>
      <c r="G18" s="18">
        <f>B18*'Spotřeba a plán'!F18+'Vstupní parametry'!$B$7*'Spotřeba a plán'!D18</f>
        <v>1993503.918</v>
      </c>
      <c r="H18" s="18">
        <f t="shared" si="1"/>
        <v>191219.2065</v>
      </c>
      <c r="I18" s="18">
        <f>E18*'Spotřeba a plán'!E18</f>
        <v>3292332.365</v>
      </c>
      <c r="J18" s="18">
        <f>D18*'Spotřeba a plán'!G18+'Vstupní parametry'!$B$8*'Spotřeba a plán'!E18</f>
        <v>3073653.156</v>
      </c>
      <c r="K18" s="18">
        <f t="shared" si="2"/>
        <v>218679.2083</v>
      </c>
      <c r="L18" s="18">
        <f t="shared" si="3"/>
        <v>409898.4148</v>
      </c>
    </row>
    <row r="19">
      <c r="A19" s="4">
        <f>'Tržní data'!A19</f>
        <v>45717</v>
      </c>
      <c r="B19" s="18">
        <f>'Tržní data'!B19</f>
        <v>2491</v>
      </c>
      <c r="C19" s="18">
        <f>B19*(1+'Vstupní parametry'!$B$5+'Vstupní parametry'!$B$9)+'Vstupní parametry'!$B$7</f>
        <v>3017.015</v>
      </c>
      <c r="D19" s="18">
        <f>'Tržní data'!C19</f>
        <v>1317</v>
      </c>
      <c r="E19" s="18">
        <f>D19*(1+'Vstupní parametry'!$B$6+'Vstupní parametry'!$B$10)+'Vstupní parametry'!$B$8</f>
        <v>1586.38</v>
      </c>
      <c r="F19" s="18">
        <f>C19*'Spotřeba a plán'!D19</f>
        <v>1501115.813</v>
      </c>
      <c r="G19" s="18">
        <f>B19*'Spotřeba a plán'!F19+'Vstupní parametry'!$B$7*'Spotřeba a plán'!D19</f>
        <v>1370979.123</v>
      </c>
      <c r="H19" s="18">
        <f t="shared" si="1"/>
        <v>130136.6903</v>
      </c>
      <c r="I19" s="18">
        <f>E19*'Spotřeba a plán'!E19</f>
        <v>2698498.479</v>
      </c>
      <c r="J19" s="18">
        <f>D19*'Spotřeba a plán'!G19+'Vstupní parametry'!$B$8*'Spotřeba a plán'!E19</f>
        <v>2519276.729</v>
      </c>
      <c r="K19" s="18">
        <f t="shared" si="2"/>
        <v>179221.75</v>
      </c>
      <c r="L19" s="18">
        <f t="shared" si="3"/>
        <v>309358.4403</v>
      </c>
    </row>
    <row r="20">
      <c r="A20" s="4">
        <f>'Tržní data'!A20</f>
        <v>45748</v>
      </c>
      <c r="B20" s="18">
        <f>'Tržní data'!B20</f>
        <v>1985</v>
      </c>
      <c r="C20" s="18">
        <f>B20*(1+'Vstupní parametry'!$B$5+'Vstupní parametry'!$B$9)+'Vstupní parametry'!$B$7</f>
        <v>2427.525</v>
      </c>
      <c r="D20" s="18">
        <f>'Tržní data'!C20</f>
        <v>1217</v>
      </c>
      <c r="E20" s="18">
        <f>D20*(1+'Vstupní parametry'!$B$6+'Vstupní parametry'!$B$10)+'Vstupní parametry'!$B$8</f>
        <v>1472.38</v>
      </c>
      <c r="F20" s="18">
        <f>C20*'Spotřeba a plán'!D20</f>
        <v>1072359.169</v>
      </c>
      <c r="G20" s="18">
        <f>B20*'Spotřeba a plán'!F20+'Vstupní parametry'!$B$7*'Spotřeba a plán'!D20</f>
        <v>980287.425</v>
      </c>
      <c r="H20" s="18">
        <f t="shared" si="1"/>
        <v>92071.74375</v>
      </c>
      <c r="I20" s="18">
        <f>E20*'Spotřeba a plán'!E20</f>
        <v>1640323.344</v>
      </c>
      <c r="J20" s="18">
        <f>D20*'Spotřeba a plán'!G20+'Vstupní parametry'!$B$8*'Spotřeba a plán'!E20</f>
        <v>1531858.219</v>
      </c>
      <c r="K20" s="18">
        <f t="shared" si="2"/>
        <v>108465.125</v>
      </c>
      <c r="L20" s="18">
        <f t="shared" si="3"/>
        <v>200536.8688</v>
      </c>
    </row>
    <row r="21" ht="15.75" customHeight="1">
      <c r="A21" s="4">
        <f>'Tržní data'!A21</f>
        <v>45778</v>
      </c>
      <c r="B21" s="18">
        <f>'Tržní data'!B21</f>
        <v>1823</v>
      </c>
      <c r="C21" s="18">
        <f>B21*(1+'Vstupní parametry'!$B$5+'Vstupní parametry'!$B$9)+'Vstupní parametry'!$B$7</f>
        <v>2238.795</v>
      </c>
      <c r="D21" s="18">
        <f>'Tržní data'!C21</f>
        <v>1119</v>
      </c>
      <c r="E21" s="18">
        <f>D21*(1+'Vstupní parametry'!$B$6+'Vstupní parametry'!$B$10)+'Vstupní parametry'!$B$8</f>
        <v>1360.66</v>
      </c>
      <c r="F21" s="18">
        <f>C21*'Spotřeba a plán'!D21</f>
        <v>895294.1205</v>
      </c>
      <c r="G21" s="18">
        <f>B21*'Spotřeba a plán'!F21+'Vstupní parametry'!$B$7*'Spotřeba a plán'!D21</f>
        <v>818747.262</v>
      </c>
      <c r="H21" s="18">
        <f t="shared" si="1"/>
        <v>76546.8585</v>
      </c>
      <c r="I21" s="18">
        <f>E21*'Spotřeba a plán'!E21</f>
        <v>896476.5104</v>
      </c>
      <c r="J21" s="18">
        <f>D21*'Spotřeba a plán'!G21+'Vstupní parametry'!$B$8*'Spotřeba a plán'!E21</f>
        <v>837495.8854</v>
      </c>
      <c r="K21" s="18">
        <f t="shared" si="2"/>
        <v>58980.625</v>
      </c>
      <c r="L21" s="18">
        <f t="shared" si="3"/>
        <v>135527.4835</v>
      </c>
    </row>
    <row r="22" ht="15.75" customHeight="1">
      <c r="A22" s="4">
        <f>'Tržní data'!A22</f>
        <v>45809</v>
      </c>
      <c r="B22" s="18">
        <f>'Tržní data'!B22</f>
        <v>1902</v>
      </c>
      <c r="C22" s="18">
        <f>B22*(1+'Vstupní parametry'!$B$5+'Vstupní parametry'!$B$9)+'Vstupní parametry'!$B$7</f>
        <v>2330.83</v>
      </c>
      <c r="D22" s="18">
        <f>'Tržní data'!C22</f>
        <v>1058</v>
      </c>
      <c r="E22" s="18">
        <f>D22*(1+'Vstupní parametry'!$B$6+'Vstupní parametry'!$B$10)+'Vstupní parametry'!$B$8</f>
        <v>1291.12</v>
      </c>
      <c r="F22" s="18">
        <f>C22*'Spotřeba a plán'!D22</f>
        <v>867068.76</v>
      </c>
      <c r="G22" s="18">
        <f>B22*'Spotřeba a plán'!F22+'Vstupní parametry'!$B$7*'Spotřeba a plán'!D22</f>
        <v>792776.64</v>
      </c>
      <c r="H22" s="18">
        <f t="shared" si="1"/>
        <v>74292.12</v>
      </c>
      <c r="I22" s="18">
        <f>E22*'Spotřeba a plán'!E22</f>
        <v>510395.875</v>
      </c>
      <c r="J22" s="18">
        <f>D22*'Spotřeba a plán'!G22+'Vstupní parametry'!$B$8*'Spotřeba a plán'!E22</f>
        <v>476936.625</v>
      </c>
      <c r="K22" s="18">
        <f t="shared" si="2"/>
        <v>33459.25</v>
      </c>
      <c r="L22" s="18">
        <f t="shared" si="3"/>
        <v>107751.37</v>
      </c>
    </row>
    <row r="23" ht="15.75" customHeight="1">
      <c r="A23" s="4">
        <f>'Tržní data'!A23</f>
        <v>45839</v>
      </c>
      <c r="B23" s="18">
        <f>'Tržní data'!B23</f>
        <v>2260</v>
      </c>
      <c r="C23" s="18">
        <f>B23*(1+'Vstupní parametry'!$B$5+'Vstupní parametry'!$B$9)+'Vstupní parametry'!$B$7</f>
        <v>2747.9</v>
      </c>
      <c r="D23" s="18">
        <f>'Tržní data'!C23</f>
        <v>1079</v>
      </c>
      <c r="E23" s="18">
        <f>D23*(1+'Vstupní parametry'!$B$6+'Vstupní parametry'!$B$10)+'Vstupní parametry'!$B$8</f>
        <v>1315.06</v>
      </c>
      <c r="F23" s="18">
        <f>C23*'Spotřeba a plán'!D23</f>
        <v>996663.33</v>
      </c>
      <c r="G23" s="18">
        <f>B23*'Spotřeba a plán'!F23+'Vstupní parametry'!$B$7*'Spotřeba a plán'!D23</f>
        <v>910594.62</v>
      </c>
      <c r="H23" s="18">
        <f t="shared" si="1"/>
        <v>86068.71</v>
      </c>
      <c r="I23" s="18">
        <f>E23*'Spotřeba a plán'!E23</f>
        <v>441093.0417</v>
      </c>
      <c r="J23" s="18">
        <f>D23*'Spotřeba a plán'!G23+'Vstupní parametry'!$B$8*'Spotřeba a plán'!E23</f>
        <v>412139.875</v>
      </c>
      <c r="K23" s="18">
        <f t="shared" si="2"/>
        <v>28953.16667</v>
      </c>
      <c r="L23" s="18">
        <f t="shared" si="3"/>
        <v>115021.8767</v>
      </c>
    </row>
    <row r="24" ht="15.75" customHeight="1">
      <c r="A24" s="4">
        <f>'Tržní data'!A24</f>
        <v>45870</v>
      </c>
      <c r="B24" s="18">
        <f>'Tržní data'!B24</f>
        <v>1882</v>
      </c>
      <c r="C24" s="18">
        <f>B24*(1+'Vstupní parametry'!$B$5+'Vstupní parametry'!$B$9)+'Vstupní parametry'!$B$7</f>
        <v>2307.53</v>
      </c>
      <c r="D24" s="18">
        <f>'Tržní data'!C24</f>
        <v>1102</v>
      </c>
      <c r="E24" s="18">
        <f>D24*(1+'Vstupní parametry'!$B$6+'Vstupní parametry'!$B$10)+'Vstupní parametry'!$B$8</f>
        <v>1341.28</v>
      </c>
      <c r="F24" s="18">
        <f>C24*'Spotřeba a plán'!D24</f>
        <v>879861.189</v>
      </c>
      <c r="G24" s="18">
        <f>B24*'Spotřeba a plán'!F24+'Vstupní parametry'!$B$7*'Spotřeba a plán'!D24</f>
        <v>804512.496</v>
      </c>
      <c r="H24" s="18">
        <f t="shared" si="1"/>
        <v>75348.693</v>
      </c>
      <c r="I24" s="18">
        <f>E24*'Spotřeba a plán'!E24</f>
        <v>498089.9167</v>
      </c>
      <c r="J24" s="18">
        <f>D24*'Spotřeba a plán'!G24+'Vstupní parametry'!$B$8*'Spotřeba a plán'!E24</f>
        <v>465351.3333</v>
      </c>
      <c r="K24" s="18">
        <f t="shared" si="2"/>
        <v>32738.58333</v>
      </c>
      <c r="L24" s="18">
        <f t="shared" si="3"/>
        <v>108087.2763</v>
      </c>
    </row>
    <row r="25" ht="15.75" customHeight="1">
      <c r="A25" s="4">
        <f>'Tržní data'!A25</f>
        <v>45901</v>
      </c>
      <c r="B25" s="18">
        <f>'Tržní data'!B25</f>
        <v>2240</v>
      </c>
      <c r="C25" s="18">
        <f>B25*(1+'Vstupní parametry'!$B$5+'Vstupní parametry'!$B$9)+'Vstupní parametry'!$B$7</f>
        <v>2724.6</v>
      </c>
      <c r="D25" s="18">
        <f>'Tržní data'!C25</f>
        <v>1161</v>
      </c>
      <c r="E25" s="18">
        <f>D25*(1+'Vstupní parametry'!$B$6+'Vstupní parametry'!$B$10)+'Vstupní parametry'!$B$8</f>
        <v>1408.54</v>
      </c>
      <c r="F25" s="18">
        <f>C25*'Spotřeba a plán'!D25</f>
        <v>1152914.49</v>
      </c>
      <c r="G25" s="18">
        <f>B25*'Spotřeba a plán'!F25+'Vstupní parametry'!$B$7*'Spotřeba a plán'!D25</f>
        <v>1053389.61</v>
      </c>
      <c r="H25" s="18">
        <f t="shared" si="1"/>
        <v>99524.88</v>
      </c>
      <c r="I25" s="18">
        <f>E25*'Spotřeba a plán'!E25</f>
        <v>961768.7188</v>
      </c>
      <c r="J25" s="18">
        <f>D25*'Spotřeba a plán'!G25+'Vstupní parametry'!$B$8*'Spotřeba a plán'!E25</f>
        <v>898349.0938</v>
      </c>
      <c r="K25" s="18">
        <f t="shared" si="2"/>
        <v>63419.625</v>
      </c>
      <c r="L25" s="18">
        <f t="shared" si="3"/>
        <v>162944.505</v>
      </c>
    </row>
    <row r="26" ht="15.75" customHeight="1">
      <c r="A26" s="4">
        <f>'Tržní data'!A26</f>
        <v>45931</v>
      </c>
      <c r="B26" s="18">
        <f>'Tržní data'!B26</f>
        <v>2330</v>
      </c>
      <c r="C26" s="18">
        <f>B26*(1+'Vstupní parametry'!$B$5+'Vstupní parametry'!$B$9)+'Vstupní parametry'!$B$7</f>
        <v>2829.45</v>
      </c>
      <c r="D26" s="18">
        <f>'Tržní data'!C26</f>
        <v>1157</v>
      </c>
      <c r="E26" s="18">
        <f>D26*(1+'Vstupní parametry'!$B$6+'Vstupní parametry'!$B$10)+'Vstupní parametry'!$B$8</f>
        <v>1403.98</v>
      </c>
      <c r="F26" s="18">
        <f>C26*'Spotřeba a plán'!D26</f>
        <v>1342008.135</v>
      </c>
      <c r="G26" s="18">
        <f>B26*'Spotřeba a plán'!F26+'Vstupní parametry'!$B$7*'Spotřeba a plán'!D26</f>
        <v>1225970.64</v>
      </c>
      <c r="H26" s="18">
        <f t="shared" si="1"/>
        <v>116037.495</v>
      </c>
      <c r="I26" s="18">
        <f>E26*'Spotřeba a plán'!E26</f>
        <v>1580939.979</v>
      </c>
      <c r="J26" s="18">
        <f>D26*'Spotřeba a plán'!G26+'Vstupní parametry'!$B$8*'Spotřeba a plán'!E26</f>
        <v>1476713.563</v>
      </c>
      <c r="K26" s="18">
        <f t="shared" si="2"/>
        <v>104226.4167</v>
      </c>
      <c r="L26" s="18">
        <f t="shared" si="3"/>
        <v>220263.9117</v>
      </c>
    </row>
    <row r="27" ht="15.75" customHeight="1">
      <c r="A27" s="4">
        <f>'Tržní data'!A27</f>
        <v>45962</v>
      </c>
      <c r="B27" s="18">
        <f>'Tržní data'!B27</f>
        <v>2697</v>
      </c>
      <c r="C27" s="18">
        <f>B27*(1+'Vstupní parametry'!$B$5+'Vstupní parametry'!$B$9)+'Vstupní parametry'!$B$7</f>
        <v>3257.005</v>
      </c>
      <c r="D27" s="18">
        <f>'Tržní data'!C27</f>
        <v>1302</v>
      </c>
      <c r="E27" s="18">
        <f>D27*(1+'Vstupní parametry'!$B$6+'Vstupní parametry'!$B$10)+'Vstupní parametry'!$B$8</f>
        <v>1569.28</v>
      </c>
      <c r="F27" s="18">
        <f>C27*'Spotřeba a plán'!D27</f>
        <v>1711393.277</v>
      </c>
      <c r="G27" s="18">
        <f>B27*'Spotřeba a plán'!F27+'Vstupní parametry'!$B$7*'Spotřeba a plán'!D27</f>
        <v>1562593.719</v>
      </c>
      <c r="H27" s="18">
        <f t="shared" si="1"/>
        <v>148799.5583</v>
      </c>
      <c r="I27" s="18">
        <f>E27*'Spotřeba a plán'!E27</f>
        <v>2594216</v>
      </c>
      <c r="J27" s="18">
        <f>D27*'Spotřeba a plán'!G27+'Vstupní parametry'!$B$8*'Spotřeba a plán'!E27</f>
        <v>2422026.5</v>
      </c>
      <c r="K27" s="18">
        <f t="shared" si="2"/>
        <v>172189.5</v>
      </c>
      <c r="L27" s="18">
        <f t="shared" si="3"/>
        <v>320989.0583</v>
      </c>
    </row>
    <row r="28" ht="15.75" customHeight="1">
      <c r="A28" s="4">
        <f>'Tržní data'!A28</f>
        <v>45992</v>
      </c>
      <c r="B28" s="18">
        <f>'Tržní data'!B28</f>
        <v>2595</v>
      </c>
      <c r="C28" s="18">
        <f>B28*(1+'Vstupní parametry'!$B$5+'Vstupní parametry'!$B$9)+'Vstupní parametry'!$B$7</f>
        <v>3138.175</v>
      </c>
      <c r="D28" s="18">
        <f>'Tržní data'!C28</f>
        <v>1283</v>
      </c>
      <c r="E28" s="18">
        <f>D28*(1+'Vstupní parametry'!$B$6+'Vstupní parametry'!$B$10)+'Vstupní parametry'!$B$8</f>
        <v>1547.62</v>
      </c>
      <c r="F28" s="18">
        <f>C28*'Spotřeba a plán'!D28</f>
        <v>1809471.705</v>
      </c>
      <c r="G28" s="18">
        <f>B28*'Spotřeba a plán'!F28+'Vstupní parametry'!$B$7*'Spotřeba a plán'!D28</f>
        <v>1652362.62</v>
      </c>
      <c r="H28" s="18">
        <f t="shared" si="1"/>
        <v>157109.085</v>
      </c>
      <c r="I28" s="18">
        <f>E28*'Spotřeba a plán'!E28</f>
        <v>3114585.25</v>
      </c>
      <c r="J28" s="18">
        <f>D28*'Spotřeba a plán'!G28+'Vstupní parametry'!$B$8*'Spotřeba a plán'!E28</f>
        <v>2908022.25</v>
      </c>
      <c r="K28" s="18">
        <f t="shared" si="2"/>
        <v>206563</v>
      </c>
      <c r="L28" s="18">
        <f t="shared" si="3"/>
        <v>363672.085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conditionalFormatting sqref="L5:L28">
    <cfRule type="cellIs" dxfId="0" priority="1" operator="less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90.0"/>
    <col customWidth="1" min="3" max="26" width="8.63"/>
  </cols>
  <sheetData>
    <row r="1" ht="37.5" customHeight="1">
      <c r="A1" s="1" t="s">
        <v>88</v>
      </c>
    </row>
    <row r="2" ht="27.0" customHeight="1">
      <c r="A2" s="2" t="s">
        <v>89</v>
      </c>
    </row>
    <row r="4" ht="27.75" customHeight="1">
      <c r="A4" s="3" t="s">
        <v>90</v>
      </c>
      <c r="B4" s="3" t="s">
        <v>91</v>
      </c>
    </row>
    <row r="5" ht="34.5" customHeight="1">
      <c r="A5" s="7" t="s">
        <v>92</v>
      </c>
      <c r="B5" s="19" t="s">
        <v>93</v>
      </c>
    </row>
    <row r="6" ht="34.5" customHeight="1">
      <c r="A6" s="7" t="s">
        <v>94</v>
      </c>
      <c r="B6" s="20" t="s">
        <v>95</v>
      </c>
    </row>
    <row r="7" ht="34.5" customHeight="1">
      <c r="A7" s="7" t="s">
        <v>96</v>
      </c>
      <c r="B7" s="20" t="s">
        <v>97</v>
      </c>
    </row>
    <row r="8" ht="34.5" customHeight="1">
      <c r="A8" s="7" t="s">
        <v>98</v>
      </c>
      <c r="B8" s="20" t="s">
        <v>99</v>
      </c>
    </row>
    <row r="9" ht="34.5" customHeight="1">
      <c r="A9" s="7" t="s">
        <v>100</v>
      </c>
      <c r="B9" s="20" t="s">
        <v>101</v>
      </c>
    </row>
    <row r="10" ht="34.5" customHeight="1">
      <c r="A10" s="7" t="s">
        <v>102</v>
      </c>
      <c r="B10" s="20" t="s">
        <v>103</v>
      </c>
    </row>
    <row r="11" ht="34.5" customHeight="1">
      <c r="A11" s="7" t="s">
        <v>104</v>
      </c>
      <c r="B11" s="20" t="s">
        <v>105</v>
      </c>
    </row>
    <row r="12" ht="34.5" customHeight="1">
      <c r="A12" s="21" t="s">
        <v>106</v>
      </c>
      <c r="B12" s="22"/>
    </row>
    <row r="13" ht="39.75" customHeight="1">
      <c r="A13" s="7" t="s">
        <v>107</v>
      </c>
      <c r="B13" s="20" t="s">
        <v>108</v>
      </c>
    </row>
    <row r="14" ht="39.75" customHeight="1">
      <c r="A14" s="7" t="s">
        <v>109</v>
      </c>
      <c r="B14" s="20" t="s">
        <v>110</v>
      </c>
    </row>
    <row r="15" ht="39.75" customHeight="1">
      <c r="A15" s="7" t="s">
        <v>111</v>
      </c>
      <c r="B15" s="20" t="s">
        <v>112</v>
      </c>
    </row>
    <row r="16" ht="39.75" customHeight="1">
      <c r="A16" s="7" t="s">
        <v>113</v>
      </c>
      <c r="B16" s="20" t="s">
        <v>114</v>
      </c>
    </row>
    <row r="17" ht="39.75" customHeight="1">
      <c r="A17" s="7" t="s">
        <v>115</v>
      </c>
      <c r="B17" s="20" t="s">
        <v>116</v>
      </c>
    </row>
    <row r="18" ht="39.75" customHeight="1">
      <c r="A18" s="7" t="s">
        <v>117</v>
      </c>
      <c r="B18" s="20" t="s">
        <v>118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5.0"/>
    <col customWidth="1" min="3" max="3" width="48.0"/>
    <col customWidth="1" min="4" max="4" width="95.0"/>
    <col customWidth="1" min="5" max="26" width="8.63"/>
  </cols>
  <sheetData>
    <row r="1">
      <c r="A1" s="21" t="s">
        <v>10</v>
      </c>
      <c r="B1" s="21" t="s">
        <v>119</v>
      </c>
      <c r="C1" s="21" t="s">
        <v>120</v>
      </c>
      <c r="D1" s="21" t="s">
        <v>121</v>
      </c>
    </row>
    <row r="2">
      <c r="A2" s="7">
        <v>2024.0</v>
      </c>
      <c r="B2" s="10">
        <v>37.61</v>
      </c>
      <c r="C2" s="7" t="s">
        <v>122</v>
      </c>
      <c r="D2" s="7" t="s">
        <v>123</v>
      </c>
    </row>
    <row r="3">
      <c r="A3" s="7">
        <v>2025.0</v>
      </c>
      <c r="B3" s="10">
        <v>39.95</v>
      </c>
      <c r="C3" s="7" t="s">
        <v>124</v>
      </c>
      <c r="D3" s="7" t="s">
        <v>125</v>
      </c>
    </row>
    <row r="5">
      <c r="A5" s="7" t="s">
        <v>126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